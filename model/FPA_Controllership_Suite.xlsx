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_Dashboard" sheetId="2" state="visible" r:id="rId4"/>
    <sheet name="P&amp;L" sheetId="3" state="visible" r:id="rId5"/>
    <sheet name="Balance_Sheet" sheetId="4" state="visible" r:id="rId6"/>
    <sheet name="Cash_Flow" sheetId="5" state="visible" r:id="rId7"/>
    <sheet name="Budget_vs_Actual" sheetId="6" state="visible" r:id="rId8"/>
    <sheet name="Rolling_Forecast" sheetId="7" state="visible" r:id="rId9"/>
    <sheet name="Cost_Center_Drilldown" sheetId="8" state="visible" r:id="rId10"/>
    <sheet name="Month_End_Close_Checklist" sheetId="9" state="visible" r:id="rId11"/>
    <sheet name="Controls_Checklist" sheetId="10" state="visible" r:id="rId12"/>
    <sheet name="Data_GL" sheetId="11" state="visible" r:id="rId13"/>
    <sheet name="Data_BS" sheetId="12" state="visible" r:id="rId14"/>
    <sheet name="Data_Budge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<sst xmlns="http://schemas.openxmlformats.org/spreadsheetml/2006/main" count="5090" uniqueCount="293">
  <si>
    <t xml:space="preserve">Multi-Entity FP&amp;A &amp; Controllership Reporting Suite</t>
  </si>
  <si>
    <t xml:space="preserve">Simulated month-end close, budgeting, forecasting, and management reporting package</t>
  </si>
  <si>
    <t xml:space="preserve">Source system: Microsoft Dynamics 365 Finance &amp; Operations (simulated exports)</t>
  </si>
  <si>
    <t xml:space="preserve">Entities covered</t>
  </si>
  <si>
    <t xml:space="preserve">DE01 - Germany GmbH Berlin | DE02 - Germany GmbH Munich | US01 - US Holdings Inc</t>
  </si>
  <si>
    <t xml:space="preserve">Reporting currency</t>
  </si>
  <si>
    <t xml:space="preserve">USD (EUR entities translated at month-end FX rate)</t>
  </si>
  <si>
    <t xml:space="preserve">Period</t>
  </si>
  <si>
    <t xml:space="preserve">Jan 2025 - Dec 2025</t>
  </si>
  <si>
    <t xml:space="preserve">Tab</t>
  </si>
  <si>
    <t xml:space="preserve">Purpose</t>
  </si>
  <si>
    <t xml:space="preserve">Data_GL / Data_BS / Data_Budget</t>
  </si>
  <si>
    <t xml:space="preserve">Cleaned, validated data pulled from D365 exports (source of all formulas below)</t>
  </si>
  <si>
    <t xml:space="preserve">P&amp;L</t>
  </si>
  <si>
    <t xml:space="preserve">Monthly P&amp;L by entity + consolidated, fully formula-driven</t>
  </si>
  <si>
    <t xml:space="preserve">Balance_Sheet</t>
  </si>
  <si>
    <t xml:space="preserve">Monthly balance sheet by entity + consolidated, with balance check</t>
  </si>
  <si>
    <t xml:space="preserve">Cash_Flow</t>
  </si>
  <si>
    <t xml:space="preserve">Indirect-method cash flow statement derived from P&amp;L and Balance Sheet</t>
  </si>
  <si>
    <t xml:space="preserve">Budget_vs_Actual</t>
  </si>
  <si>
    <t xml:space="preserve">Monthly variance analysis with commentary flags</t>
  </si>
  <si>
    <t xml:space="preserve">Rolling_Forecast</t>
  </si>
  <si>
    <t xml:space="preserve">6-month rolling forecast off trailing trend, adjustable growth assumption</t>
  </si>
  <si>
    <t xml:space="preserve">Cost_Center_Drilldown</t>
  </si>
  <si>
    <t xml:space="preserve">Spend by cost center with over/under-budget flags for business partnering</t>
  </si>
  <si>
    <t xml:space="preserve">Month_End_Close_Checklist</t>
  </si>
  <si>
    <t xml:space="preserve">Close task tracker (owner, due date, status) incl. data-quality log from D365 import</t>
  </si>
  <si>
    <t xml:space="preserve">Controls_Checklist</t>
  </si>
  <si>
    <t xml:space="preserve">Internal controls / segregation-of-duties tracker</t>
  </si>
  <si>
    <t xml:space="preserve">Executive_Dashboard</t>
  </si>
  <si>
    <t xml:space="preserve">KPI summary and charts for management presentation</t>
  </si>
  <si>
    <t xml:space="preserve">Executive Dashboard — Consolidated (All 3 Entities)</t>
  </si>
  <si>
    <t xml:space="preserve">FY2025 | Source: Microsoft Dynamics 365 F&amp;O (simulated) | Auto-refreshes from P&amp;L / Balance Sheet / Cost Center tabs</t>
  </si>
  <si>
    <t xml:space="preserve">FY Revenue</t>
  </si>
  <si>
    <t xml:space="preserve">FY EBITDA</t>
  </si>
  <si>
    <t xml:space="preserve">EBITDA Margin</t>
  </si>
  <si>
    <t xml:space="preserve">FY Net Income</t>
  </si>
  <si>
    <t xml:space="preserve">Dec-25 Cash (Selected Entity, see P&amp;L tab)</t>
  </si>
  <si>
    <t xml:space="preserve">Chart Data (hidden helper rows below; formulas reference other tabs)</t>
  </si>
  <si>
    <t xml:space="preserve">Month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</si>
  <si>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</si>
  <si>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</si>
  <si>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</si>
  <si>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</si>
  <si>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</si>
  <si>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</si>
  <si>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</si>
  <si>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</si>
  <si>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</si>
  <si>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</si>
  <si>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</si>
  <si>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</si>
  <si>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Revenue</t>
  </si>
  <si>
    <t xml:space="preserve">EBITDA Margin %</t>
  </si>
  <si>
    <t xml:space="preserve">Bridge Item</t>
  </si>
  <si>
    <t xml:space="preserve">FY Actual Revenue</t>
  </si>
  <si>
    <t xml:space="preserve">FY Budget Revenue</t>
  </si>
  <si>
    <t xml:space="preserve">Cost Center</t>
  </si>
  <si>
    <t xml:space="preserve">FY OpEx Spend</t>
  </si>
  <si>
    <t xml:space="preserve">Sales &amp; Marketing</t>
  </si>
  <si>
    <t xml:space="preserve">Operations</t>
  </si>
  <si>
    <t xml:space="preserve">G&amp;A</t>
  </si>
  <si>
    <t xml:space="preserve">R&amp;D / Product</t>
  </si>
  <si>
    <t xml:space="preserve">Unallocated</t>
  </si>
  <si>
    <t xml:space="preserve">Select Entity:</t>
  </si>
  <si>
    <t xml:space="preserve">DE01</t>
  </si>
  <si>
    <t xml:space="preserve">&lt;- change entity to view; Consolidated column always sums all 3 entities</t>
  </si>
  <si>
    <t xml:space="preserve">P&amp;L Line Item</t>
  </si>
  <si>
    <t xml:space="preserve">FY Total (Selected Entity)</t>
  </si>
  <si>
    <t xml:space="preserve">FY Total (Consolidated)</t>
  </si>
  <si>
    <t xml:space="preserve">  Product Sales (4000)</t>
  </si>
  <si>
    <t xml:space="preserve">  Services (4010)</t>
  </si>
  <si>
    <t xml:space="preserve">Total Revenue</t>
  </si>
  <si>
    <t xml:space="preserve">Cost of Goods Sold</t>
  </si>
  <si>
    <t xml:space="preserve">  Materials (5000)</t>
  </si>
  <si>
    <t xml:space="preserve">  Freight (5010)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</si>
  <si>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</si>
  <si>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</si>
  <si>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</si>
  <si>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</si>
  <si>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  Salaries &amp; Wages (6000)</t>
  </si>
  <si>
    <t xml:space="preserve">  Marketing (6010)</t>
  </si>
  <si>
    <t xml:space="preserve">  IT &amp; Software (6020)</t>
  </si>
  <si>
    <t xml:space="preserve">  Facilities &amp; Rent (6030)</t>
  </si>
  <si>
    <t xml:space="preserve">  Professional Fees (6040)</t>
  </si>
  <si>
    <t xml:space="preserve">Total OpEx (before D&amp;A)</t>
  </si>
  <si>
    <t xml:space="preserve">EBITDA</t>
  </si>
  <si>
    <t xml:space="preserve">Depreciation &amp; Amortization (7000)</t>
  </si>
  <si>
    <t xml:space="preserve">EBIT</t>
  </si>
  <si>
    <t xml:space="preserve">Interest Expense (8000)</t>
  </si>
  <si>
    <t xml:space="preserve">Net Income</t>
  </si>
  <si>
    <t xml:space="preserve">Net Margin %</t>
  </si>
  <si>
    <t xml:space="preserve">Balance Sheet Line Item</t>
  </si>
  <si>
    <t xml:space="preserve">Dec-25 (Consolidated)</t>
  </si>
  <si>
    <t xml:space="preserve">Assets</t>
  </si>
  <si>
    <t xml:space="preserve">  Cash &amp; Cash Equivalents</t>
  </si>
  <si>
    <t xml:space="preserve">  Accounts Receivable</t>
  </si>
  <si>
    <t xml:space="preserve">  Fixed Assets, net</t>
  </si>
  <si>
    <t xml:space="preserve">Total Assets</t>
  </si>
  <si>
    <t xml:space="preserve">Liabilities</t>
  </si>
  <si>
    <t xml:space="preserve">  Accounts Payable</t>
  </si>
  <si>
    <t xml:space="preserve">  Accrued Liabilities</t>
  </si>
  <si>
    <t xml:space="preserve">  Long-term Debt</t>
  </si>
  <si>
    <t xml:space="preserve">Total Liabilities</t>
  </si>
  <si>
    <t xml:space="preserve">Equity</t>
  </si>
  <si>
    <t xml:space="preserve">  Share Capital</t>
  </si>
  <si>
    <t xml:space="preserve">  Retained Earnings</t>
  </si>
  <si>
    <t xml:space="preserve">Total Equity</t>
  </si>
  <si>
    <t xml:space="preserve">Total Liabilities + Equity</t>
  </si>
  <si>
    <t xml:space="preserve">Balance Check (Assets - L&amp;E, should be 0)</t>
  </si>
  <si>
    <t xml:space="preserve">Indirect method | Entity follows the selector on the P&amp;L tab (cell P&amp;L!$C$2)</t>
  </si>
  <si>
    <t xml:space="preserve">Cash Flow Line Item</t>
  </si>
  <si>
    <t xml:space="preserve">Operating Activities</t>
  </si>
  <si>
    <t xml:space="preserve">  Net Income (from P&amp;L)</t>
  </si>
  <si>
    <t xml:space="preserve">  + Depreciation &amp; Amortization (non-cash)</t>
  </si>
  <si>
    <t xml:space="preserve">  (Increase)/Decrease in Accounts Receivable</t>
  </si>
  <si>
    <t xml:space="preserve">  Increase/(Decrease) in Accounts Payable</t>
  </si>
  <si>
    <t xml:space="preserve">  Increase/(Decrease) in Accrued Liabilities</t>
  </si>
  <si>
    <t xml:space="preserve">Cash Flow from Operations</t>
  </si>
  <si>
    <t xml:space="preserve">Investing Activities</t>
  </si>
  <si>
    <t xml:space="preserve">  Capital Expenditures (proxy: PP&amp;E build)</t>
  </si>
  <si>
    <t xml:space="preserve">Cash Flow from Investing</t>
  </si>
  <si>
    <t xml:space="preserve">Financing Activities</t>
  </si>
  <si>
    <t xml:space="preserve">  Debt Issuance/(Repayment)</t>
  </si>
  <si>
    <t xml:space="preserve">Cash Flow from Financing</t>
  </si>
  <si>
    <t xml:space="preserve">Net Change in Cash</t>
  </si>
  <si>
    <t xml:space="preserve">  Beginning Cash Balance</t>
  </si>
  <si>
    <t xml:space="preserve">  Ending Cash Balance (check vs Balance_Sheet)</t>
  </si>
  <si>
    <t xml:space="preserve">Select Period:</t>
  </si>
  <si>
    <t xml:space="preserve">2025-06</t>
  </si>
  <si>
    <t xml:space="preserve">Account</t>
  </si>
  <si>
    <t xml:space="preserve">Category</t>
  </si>
  <si>
    <t xml:space="preserve">Actual</t>
  </si>
  <si>
    <t xml:space="preserve">Budget</t>
  </si>
  <si>
    <t xml:space="preserve">Variance $</t>
  </si>
  <si>
    <t xml:space="preserve">Variance %</t>
  </si>
  <si>
    <t xml:space="preserve">Commentary Flag</t>
  </si>
  <si>
    <t xml:space="preserve">Product Sales (4000)</t>
  </si>
  <si>
    <t xml:space="preserve">Services (4010)</t>
  </si>
  <si>
    <t xml:space="preserve">Materials (COGS) (5000)</t>
  </si>
  <si>
    <t xml:space="preserve">COGS</t>
  </si>
  <si>
    <t xml:space="preserve">Freight (COGS) (5010)</t>
  </si>
  <si>
    <t xml:space="preserve">Salaries &amp; Wages (6000)</t>
  </si>
  <si>
    <t xml:space="preserve">OpEx</t>
  </si>
  <si>
    <t xml:space="preserve">Marketing (6010)</t>
  </si>
  <si>
    <t xml:space="preserve">IT &amp; Software (6020)</t>
  </si>
  <si>
    <t xml:space="preserve">Facilities &amp; Rent (6030)</t>
  </si>
  <si>
    <t xml:space="preserve">Professional Fees (6040)</t>
  </si>
  <si>
    <t xml:space="preserve">Total (this view)</t>
  </si>
  <si>
    <t xml:space="preserve">Monthly Growth Assumption (applied to forecast months):</t>
  </si>
  <si>
    <t xml:space="preserve">&lt;- editable assumption (default trailing-3mo avg growth rate)</t>
  </si>
  <si>
    <t xml:space="preserve">Revenue Forecast Line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</si>
  <si>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</si>
  <si>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</si>
  <si>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</si>
  <si>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</si>
  <si>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</si>
  <si>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</si>
  <si>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Total Revenue (Actual / Forecast)</t>
  </si>
  <si>
    <t xml:space="preserve">Trailing 3-Month Avg Growth Rate</t>
  </si>
  <si>
    <t xml:space="preserve">Variance vs prior Rolling Forecast (n/a for actuals)</t>
  </si>
  <si>
    <t xml:space="preserve">Actual Spend</t>
  </si>
  <si>
    <t xml:space="preserve">Budget (Total OpEx, allocated pro-rata)</t>
  </si>
  <si>
    <t xml:space="preserve">% of Total Spend</t>
  </si>
  <si>
    <t xml:space="preserve">Business Partnering Flag</t>
  </si>
  <si>
    <t xml:space="preserve">Sales &amp; Marketing (CC100)</t>
  </si>
  <si>
    <t xml:space="preserve">Operations (CC200)</t>
  </si>
  <si>
    <t xml:space="preserve">G&amp;A (CC300)</t>
  </si>
  <si>
    <t xml:space="preserve">R&amp;D / Product (CC400)</t>
  </si>
  <si>
    <t xml:space="preserve">Unallocated / Needs Review (UNALLOCATED)</t>
  </si>
  <si>
    <t xml:space="preserve">Total OpEx Spend</t>
  </si>
  <si>
    <t xml:space="preserve">Month-End Close Checklist</t>
  </si>
  <si>
    <t xml:space="preserve">Coordinated with Shared Services; owners below are illustrative roles, not names.</t>
  </si>
  <si>
    <t xml:space="preserve">Task</t>
  </si>
  <si>
    <t xml:space="preserve">Owner</t>
  </si>
  <si>
    <t xml:space="preserve">Due (Business Day)</t>
  </si>
  <si>
    <t xml:space="preserve">Status</t>
  </si>
  <si>
    <t xml:space="preserve">Notes</t>
  </si>
  <si>
    <t xml:space="preserve">Lock prior period in D365 GL</t>
  </si>
  <si>
    <t xml:space="preserve">Controller</t>
  </si>
  <si>
    <t xml:space="preserve">BD1</t>
  </si>
  <si>
    <t xml:space="preserve">Complete</t>
  </si>
  <si>
    <t xml:space="preserve">Prevents backdated postings</t>
  </si>
  <si>
    <t xml:space="preserve">Pull GL trial balance export from D365 F&amp;O</t>
  </si>
  <si>
    <t xml:space="preserve">FP&amp;A Analyst</t>
  </si>
  <si>
    <t xml:space="preserve">Source: General ledger &gt; Trial balance</t>
  </si>
  <si>
    <t xml:space="preserve">Validate D365 export (duplicates, blank dimensions, FX)</t>
  </si>
  <si>
    <t xml:space="preserve">BD2</t>
  </si>
  <si>
    <t xml:space="preserve">See Data_Quality_Log tab below</t>
  </si>
  <si>
    <t xml:space="preserve">Confirm accruals with Shared Services (AP/AR)</t>
  </si>
  <si>
    <t xml:space="preserve">Shared Services Lead</t>
  </si>
  <si>
    <t xml:space="preserve">In Progress</t>
  </si>
  <si>
    <t xml:space="preserve">Awaiting confirmation from 1 of 3 entities</t>
  </si>
  <si>
    <t xml:space="preserve">Reconcile intercompany balances</t>
  </si>
  <si>
    <t xml:space="preserve">BD3</t>
  </si>
  <si>
    <t xml:space="preserve">Post month-end journal entries</t>
  </si>
  <si>
    <t xml:space="preserve">Not Started</t>
  </si>
  <si>
    <t xml:space="preserve">Update P&amp;L / Balance Sheet / Cash Flow model</t>
  </si>
  <si>
    <t xml:space="preserve">BD4</t>
  </si>
  <si>
    <t xml:space="preserve">This workbook</t>
  </si>
  <si>
    <t xml:space="preserve">Run Budget vs Actual variance analysis</t>
  </si>
  <si>
    <t xml:space="preserve">Business partnering review with cost center owners</t>
  </si>
  <si>
    <t xml:space="preserve">BD5</t>
  </si>
  <si>
    <t xml:space="preserve">Flag &gt;15% variances</t>
  </si>
  <si>
    <t xml:space="preserve">Prepare Executive Dashboard / management pack</t>
  </si>
  <si>
    <t xml:space="preserve">Management review &amp; sign-off</t>
  </si>
  <si>
    <t xml:space="preserve">Finance Director</t>
  </si>
  <si>
    <t xml:space="preserve">BD6</t>
  </si>
  <si>
    <t xml:space="preserve">Distribute final reporting package</t>
  </si>
  <si>
    <t xml:space="preserve">Data Quality Log (from D365 export validation, feeds this close cycle)</t>
  </si>
  <si>
    <t xml:space="preserve">Step</t>
  </si>
  <si>
    <t xml:space="preserve">Detail</t>
  </si>
  <si>
    <t xml:space="preserve">RowsAffected</t>
  </si>
  <si>
    <t xml:space="preserve">Cost center cleanup</t>
  </si>
  <si>
    <t xml:space="preserve">Trimmed whitespace / standardized casing</t>
  </si>
  <si>
    <t xml:space="preserve">Duplicate GL lines</t>
  </si>
  <si>
    <t xml:space="preserve">Removed exact-duplicate journal rows from D365 export</t>
  </si>
  <si>
    <t xml:space="preserve">Blank cost centers</t>
  </si>
  <si>
    <t xml:space="preserve">Mapped blank/non-dimensioned lines to UNALLOCATED for review</t>
  </si>
  <si>
    <t xml:space="preserve">FX translation</t>
  </si>
  <si>
    <t xml:space="preserve">Converted EUR entity amounts to USD at month-end rate</t>
  </si>
  <si>
    <t xml:space="preserve">Internal Controls / Compliance Checklist</t>
  </si>
  <si>
    <t xml:space="preserve">Controller acts as compliance ambassador / gatekeeper of internal controls</t>
  </si>
  <si>
    <t xml:space="preserve">Control</t>
  </si>
  <si>
    <t xml:space="preserve">Frequency</t>
  </si>
  <si>
    <t xml:space="preserve">Segregation of Duties Check</t>
  </si>
  <si>
    <t xml:space="preserve">Journal entries &gt;$10k require second approver</t>
  </si>
  <si>
    <t xml:space="preserve">Every posting</t>
  </si>
  <si>
    <t xml:space="preserve">Preparer ≠ Approver</t>
  </si>
  <si>
    <t xml:space="preserve">Active</t>
  </si>
  <si>
    <t xml:space="preserve">Bank reconciliation reviewed and signed off</t>
  </si>
  <si>
    <t xml:space="preserve">Monthly</t>
  </si>
  <si>
    <t xml:space="preserve">Preparer ≠ Reviewer</t>
  </si>
  <si>
    <t xml:space="preserve">D365 user access review (finance module)</t>
  </si>
  <si>
    <t xml:space="preserve">Quarterly</t>
  </si>
  <si>
    <t xml:space="preserve">Controller / IT</t>
  </si>
  <si>
    <t xml:space="preserve">Access matches role</t>
  </si>
  <si>
    <t xml:space="preserve">Vendor master changes require dual approval</t>
  </si>
  <si>
    <t xml:space="preserve">Every change</t>
  </si>
  <si>
    <t xml:space="preserve">AP Lead</t>
  </si>
  <si>
    <t xml:space="preserve">Requestor ≠ Approver</t>
  </si>
  <si>
    <t xml:space="preserve">Intercompany balances reconciled and eliminated</t>
  </si>
  <si>
    <t xml:space="preserve">n/a</t>
  </si>
  <si>
    <t xml:space="preserve">3rd-party tax/accounting provider deliverables reviewed</t>
  </si>
  <si>
    <t xml:space="preserve">Provider ≠ Reviewer</t>
  </si>
  <si>
    <t xml:space="preserve">Budget vs Actual variances &gt;10% documented</t>
  </si>
  <si>
    <t xml:space="preserve">LegalEntity</t>
  </si>
  <si>
    <t xml:space="preserve">MainAccount</t>
  </si>
  <si>
    <t xml:space="preserve">AccountName</t>
  </si>
  <si>
    <t xml:space="preserve">AccountCategory</t>
  </si>
  <si>
    <t xml:space="preserve">CostCenter</t>
  </si>
  <si>
    <t xml:space="preserve">AmountUSD</t>
  </si>
  <si>
    <t xml:space="preserve">2025-01</t>
  </si>
  <si>
    <t xml:space="preserve">Revenue - Product Sales</t>
  </si>
  <si>
    <t xml:space="preserve">UNALLOCATED</t>
  </si>
  <si>
    <t xml:space="preserve">Revenue - Services</t>
  </si>
  <si>
    <t xml:space="preserve">COGS - Materials</t>
  </si>
  <si>
    <t xml:space="preserve">CC200</t>
  </si>
  <si>
    <t xml:space="preserve">COGS - Freight</t>
  </si>
  <si>
    <t xml:space="preserve">Salaries &amp; Wages</t>
  </si>
  <si>
    <t xml:space="preserve">CC300</t>
  </si>
  <si>
    <t xml:space="preserve">Marketing Expense</t>
  </si>
  <si>
    <t xml:space="preserve">CC100</t>
  </si>
  <si>
    <t xml:space="preserve">IT &amp; Software</t>
  </si>
  <si>
    <t xml:space="preserve">CC400</t>
  </si>
  <si>
    <t xml:space="preserve">Facilities &amp; Rent</t>
  </si>
  <si>
    <t xml:space="preserve">Professional Fees</t>
  </si>
  <si>
    <t xml:space="preserve">Depreciation &amp; Amortization</t>
  </si>
  <si>
    <t xml:space="preserve">Interest Expense</t>
  </si>
  <si>
    <t xml:space="preserve">NonOp</t>
  </si>
  <si>
    <t xml:space="preserve">2025-02</t>
  </si>
  <si>
    <t xml:space="preserve">2025-03</t>
  </si>
  <si>
    <t xml:space="preserve">2025-04</t>
  </si>
  <si>
    <t xml:space="preserve">2025-05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</si>
  <si>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</si>
  <si>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</si>
  <si>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</si>
  <si>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</si>
  <si>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</si>
  <si>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</si>
  <si>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DE02</t>
  </si>
  <si>
    <t xml:space="preserve">US01</t>
  </si>
  <si>
    <t xml:space="preserve">Cash &amp; Cash Equivalents</t>
  </si>
  <si>
    <t xml:space="preserve">Asset</t>
  </si>
  <si>
    <t xml:space="preserve">Accounts Receivable</t>
  </si>
  <si>
    <t xml:space="preserve">Fixed Assets, net</t>
  </si>
  <si>
    <t xml:space="preserve">Accounts Payable</t>
  </si>
  <si>
    <t xml:space="preserve">Liability</t>
  </si>
  <si>
    <t xml:space="preserve">Accrued Liabilities</t>
  </si>
  <si>
    <t xml:space="preserve">Long-term Debt</t>
  </si>
  <si>
    <t xml:space="preserve">Share Capital</t>
  </si>
  <si>
    <t xml:space="preserve">Retained Earnings</t>
  </si>
  <si>
    <t xml:space="preserve">BudgetAmount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</si>
</sst>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%"/>
    <numFmt numFmtId="168" formatCode="0.0%;\(0.0%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BF8F00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(Consolidated, 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Executive_Dashboard!$B$11:$M$11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Executive_Dashboard!$B$12:$M$12</c:f>
              <c:numCache>
                <c:formatCode>\$#,##0;"($"#,##0\);\-</c:formatCode>
                <c:ptCount val="12"/>
                <c:pt idx="0">
                  <c:v>1413032.01</c:v>
                </c:pt>
                <c:pt idx="1">
                  <c:v>1520958.19</c:v>
                </c:pt>
                <c:pt idx="2">
                  <c:v>1509294.08</c:v>
                </c:pt>
                <c:pt idx="3">
                  <c:v>1552697.38</c:v>
                </c:pt>
                <c:pt idx="4">
                  <c:v>1575904.35</c:v>
                </c:pt>
                <c:pt idx="5">
                  <c:v>1610969.15</c:v>
                </c:pt>
                <c:pt idx="6">
                  <c:v>1561755.68</c:v>
                </c:pt>
                <c:pt idx="7">
                  <c:v>1482789.63</c:v>
                </c:pt>
                <c:pt idx="8">
                  <c:v>1452931.77</c:v>
                </c:pt>
                <c:pt idx="9">
                  <c:v>1452547.45</c:v>
                </c:pt>
                <c:pt idx="10">
                  <c:v>1507520.87</c:v>
                </c:pt>
                <c:pt idx="11">
                  <c:v>1568697.02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451759"/>
        <c:axId val="54375078"/>
      </c:lineChart>
      <c:catAx>
        <c:axId val="474517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75078"/>
        <c:crosses val="autoZero"/>
        <c:auto val="1"/>
        <c:lblAlgn val="ctr"/>
        <c:lblOffset val="100"/>
        <c:noMultiLvlLbl val="0"/>
      </c:catAx>
      <c:valAx>
        <c:axId val="543750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51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Margin Trend (Consolidated,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Executive_Dashboard!$B$11:$M$11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Executive_Dashboard!$B$13:$M$13</c:f>
              <c:numCache>
                <c:formatCode>0.0%</c:formatCode>
                <c:ptCount val="12"/>
                <c:pt idx="0">
                  <c:v>0.353428582272528</c:v>
                </c:pt>
                <c:pt idx="1">
                  <c:v>0.349976826121696</c:v>
                </c:pt>
                <c:pt idx="2">
                  <c:v>0.352554115895028</c:v>
                </c:pt>
                <c:pt idx="3">
                  <c:v>0.349689493261076</c:v>
                </c:pt>
                <c:pt idx="4">
                  <c:v>0.346752041137522</c:v>
                </c:pt>
                <c:pt idx="5">
                  <c:v>0.355678902975889</c:v>
                </c:pt>
                <c:pt idx="6">
                  <c:v>0.348210649696501</c:v>
                </c:pt>
                <c:pt idx="7">
                  <c:v>0.3510283316454</c:v>
                </c:pt>
                <c:pt idx="8">
                  <c:v>0.345668282826523</c:v>
                </c:pt>
                <c:pt idx="9">
                  <c:v>0.344763952461587</c:v>
                </c:pt>
                <c:pt idx="10">
                  <c:v>0.343198432801796</c:v>
                </c:pt>
                <c:pt idx="11">
                  <c:v>0.350759555851008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83060"/>
        <c:axId val="7234597"/>
      </c:lineChart>
      <c:catAx>
        <c:axId val="65830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4597"/>
        <c:crosses val="autoZero"/>
        <c:auto val="1"/>
        <c:lblAlgn val="ctr"/>
        <c:lblOffset val="100"/>
        <c:noMultiLvlLbl val="0"/>
      </c:catAx>
      <c:valAx>
        <c:axId val="72345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EBITDA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3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 Revenue: Actual vs Budget (Consolidated)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Executive_Dashboard!$A$16:$A$17</c:f>
              <c:strCache>
                <c:ptCount val="2"/>
                <c:pt idx="0">
                  <c:v>FY Actual Revenue</c:v>
                </c:pt>
                <c:pt idx="1">
                  <c:v>FY Budget Revenue</c:v>
                </c:pt>
              </c:strCache>
            </c:strRef>
          </c:cat>
          <c:val>
            <c:numRef>
              <c:f>Executive_Dashboard!$B$16:$B$17</c:f>
              <c:numCache>
                <c:formatCode>\$#,##0;"($"#,##0\);\-</c:formatCode>
                <c:ptCount val="2"/>
                <c:pt idx="0">
                  <c:v>18209097.58</c:v>
                </c:pt>
                <c:pt idx="1">
                  <c:v>25476861.36</c:v>
                </c:pt>
              </c:numCache>
            </c:numRef>
          </c:val>
        </c:ser>
        <c:gapWidth val="150"/>
        <c:overlap val="0"/>
        <c:axId val="28260650"/>
        <c:axId val="65824925"/>
      </c:barChart>
      <c:catAx>
        <c:axId val="282606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4925"/>
        <c:crosses val="autoZero"/>
        <c:auto val="1"/>
        <c:lblAlgn val="ctr"/>
        <c:lblOffset val="100"/>
        <c:noMultiLvlLbl val="0"/>
      </c:catAx>
      <c:valAx>
        <c:axId val="658249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606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 OpEx Spend by Cost Center (Consolidated)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numFmt formatCode="\$#,##0;&quot;($&quot;#,##0\);\-" sourceLinked="1"/>
            <c:dLbl>
              <c:idx val="0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\$#,##0;&quot;($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Executive_Dashboard!$A$20:$A$24</c:f>
              <c:strCache>
                <c:ptCount val="5"/>
                <c:pt idx="0">
                  <c:v>Sales &amp; Marketing</c:v>
                </c:pt>
                <c:pt idx="1">
                  <c:v>Operations</c:v>
                </c:pt>
                <c:pt idx="2">
                  <c:v>G&amp;A</c:v>
                </c:pt>
                <c:pt idx="3">
                  <c:v>R&amp;D / Product</c:v>
                </c:pt>
                <c:pt idx="4">
                  <c:v>Unallocated</c:v>
                </c:pt>
              </c:strCache>
            </c:strRef>
          </c:cat>
          <c:val>
            <c:numRef>
              <c:f>Executive_Dashboard!$B$20:$B$24</c:f>
              <c:numCache>
                <c:formatCode>\$#,##0;"($"#,##0\);\-</c:formatCode>
                <c:ptCount val="5"/>
                <c:pt idx="0">
                  <c:v>900185.16</c:v>
                </c:pt>
                <c:pt idx="1">
                  <c:v>366210.93</c:v>
                </c:pt>
                <c:pt idx="2">
                  <c:v>3566648.2</c:v>
                </c:pt>
                <c:pt idx="3">
                  <c:v>461641.7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11</xdr:col>
      <xdr:colOff>364320</xdr:colOff>
      <xdr:row>36</xdr:row>
      <xdr:rowOff>21600</xdr:rowOff>
    </xdr:to>
    <xdr:graphicFrame>
      <xdr:nvGraphicFramePr>
        <xdr:cNvPr id="0" name="Chart 1"/>
        <xdr:cNvGraphicFramePr/>
      </xdr:nvGraphicFramePr>
      <xdr:xfrm>
        <a:off x="611640" y="40575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20</xdr:col>
      <xdr:colOff>363960</xdr:colOff>
      <xdr:row>36</xdr:row>
      <xdr:rowOff>21600</xdr:rowOff>
    </xdr:to>
    <xdr:graphicFrame>
      <xdr:nvGraphicFramePr>
        <xdr:cNvPr id="1" name="Chart 2"/>
        <xdr:cNvGraphicFramePr/>
      </xdr:nvGraphicFramePr>
      <xdr:xfrm>
        <a:off x="6114960" y="40575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8</xdr:col>
      <xdr:colOff>38880</xdr:colOff>
      <xdr:row>52</xdr:row>
      <xdr:rowOff>21960</xdr:rowOff>
    </xdr:to>
    <xdr:graphicFrame>
      <xdr:nvGraphicFramePr>
        <xdr:cNvPr id="2" name="Chart 3"/>
        <xdr:cNvGraphicFramePr/>
      </xdr:nvGraphicFramePr>
      <xdr:xfrm>
        <a:off x="611640" y="710568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37</xdr:row>
      <xdr:rowOff>0</xdr:rowOff>
    </xdr:from>
    <xdr:to>
      <xdr:col>17</xdr:col>
      <xdr:colOff>38520</xdr:colOff>
      <xdr:row>52</xdr:row>
      <xdr:rowOff>21960</xdr:rowOff>
    </xdr:to>
    <xdr:graphicFrame>
      <xdr:nvGraphicFramePr>
        <xdr:cNvPr id="3" name="Chart 4"/>
        <xdr:cNvGraphicFramePr/>
      </xdr:nvGraphicFramePr>
      <xdr:xfrm>
        <a:off x="6114960" y="710568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90"/>
  </cols>
  <sheetData>
    <row r="2" customFormat="false" ht="21.7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6" customFormat="false" ht="15" hidden="false" customHeight="true" outlineLevel="0" collapsed="false">
      <c r="B6" s="4" t="s">
        <v>2</v>
      </c>
    </row>
    <row r="8" customFormat="false" ht="15" hidden="false" customHeight="true" outlineLevel="0" collapsed="false">
      <c r="B8" s="4" t="s">
        <v>3</v>
      </c>
      <c r="C8" s="5" t="s">
        <v>4</v>
      </c>
    </row>
    <row r="9" customFormat="false" ht="15" hidden="false" customHeight="true" outlineLevel="0" collapsed="false">
      <c r="B9" s="4" t="s">
        <v>5</v>
      </c>
      <c r="C9" s="5" t="s">
        <v>6</v>
      </c>
    </row>
    <row r="10" customFormat="false" ht="15" hidden="false" customHeight="true" outlineLevel="0" collapsed="false">
      <c r="B10" s="4" t="s">
        <v>7</v>
      </c>
      <c r="C10" s="5" t="s">
        <v>8</v>
      </c>
    </row>
    <row r="11" customFormat="false" ht="15" hidden="false" customHeight="true" outlineLevel="0" collapsed="false">
      <c r="B11" s="6"/>
      <c r="C11" s="5"/>
    </row>
    <row r="12" customFormat="false" ht="15" hidden="false" customHeight="true" outlineLevel="0" collapsed="false">
      <c r="B12" s="4" t="s">
        <v>9</v>
      </c>
      <c r="C12" s="5" t="s">
        <v>10</v>
      </c>
    </row>
    <row r="13" customFormat="false" ht="15" hidden="false" customHeight="true" outlineLevel="0" collapsed="false">
      <c r="B13" s="4" t="s">
        <v>11</v>
      </c>
      <c r="C13" s="5" t="s">
        <v>12</v>
      </c>
    </row>
    <row r="14" customFormat="false" ht="15" hidden="false" customHeight="true" outlineLevel="0" collapsed="false">
      <c r="B14" s="4" t="s">
        <v>13</v>
      </c>
      <c r="C14" s="5" t="s">
        <v>14</v>
      </c>
    </row>
    <row r="15" customFormat="false" ht="15" hidden="false" customHeight="true" outlineLevel="0" collapsed="false">
      <c r="B15" s="4" t="s">
        <v>15</v>
      </c>
      <c r="C15" s="5" t="s">
        <v>16</v>
      </c>
    </row>
    <row r="16" customFormat="false" ht="15" hidden="false" customHeight="true" outlineLevel="0" collapsed="false">
      <c r="B16" s="4" t="s">
        <v>17</v>
      </c>
      <c r="C16" s="5" t="s">
        <v>18</v>
      </c>
    </row>
    <row r="17" customFormat="false" ht="15" hidden="false" customHeight="true" outlineLevel="0" collapsed="false">
      <c r="B17" s="4" t="s">
        <v>19</v>
      </c>
      <c r="C17" s="5" t="s">
        <v>20</v>
      </c>
    </row>
    <row r="18" customFormat="false" ht="15" hidden="false" customHeight="true" outlineLevel="0" collapsed="false">
      <c r="B18" s="4" t="s">
        <v>21</v>
      </c>
      <c r="C18" s="5" t="s">
        <v>22</v>
      </c>
    </row>
    <row r="19" customFormat="false" ht="15" hidden="false" customHeight="true" outlineLevel="0" collapsed="false">
      <c r="B19" s="4" t="s">
        <v>23</v>
      </c>
      <c r="C19" s="5" t="s">
        <v>24</v>
      </c>
    </row>
    <row r="20" customFormat="false" ht="15" hidden="false" customHeight="true" outlineLevel="0" collapsed="false">
      <c r="B20" s="4" t="s">
        <v>25</v>
      </c>
      <c r="C20" s="5" t="s">
        <v>26</v>
      </c>
    </row>
    <row r="21" customFormat="false" ht="15" hidden="false" customHeight="true" outlineLevel="0" collapsed="false">
      <c r="B21" s="4" t="s">
        <v>27</v>
      </c>
      <c r="C21" s="5" t="s">
        <v>28</v>
      </c>
    </row>
    <row r="22" customFormat="false" ht="15" hidden="false" customHeight="true" outlineLevel="0" collapsed="false">
      <c r="B22" s="4" t="s">
        <v>29</v>
      </c>
      <c r="C22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5" hidden="false" customHeight="true" outlineLevel="0" collapsed="false">
      <c r="B2" s="7" t="s">
        <v>31</v>
      </c>
    </row>
    <row r="3" customFormat="false" ht="15" hidden="false" customHeight="true" outlineLevel="0" collapsed="false">
      <c r="B3" s="8" t="s">
        <v>32</v>
      </c>
    </row>
    <row r="5" customFormat="false" ht="15" hidden="false" customHeight="true" outlineLevel="0" collapsed="false">
      <c r="B5" s="9" t="s">
        <v>33</v>
      </c>
      <c r="C5" s="9"/>
      <c r="E5" s="9" t="s">
        <v>34</v>
      </c>
      <c r="F5" s="9"/>
      <c r="H5" s="9" t="s">
        <v>35</v>
      </c>
      <c r="I5" s="9"/>
      <c r="K5" s="9" t="s">
        <v>36</v>
      </c>
      <c r="L5" s="9"/>
      <c r="N5" s="9" t="s">
        <v>37</v>
      </c>
      <c r="O5" s="9"/>
    </row>
    <row r="6" customFormat="false" ht="15" hidden="false" customHeight="true" outlineLevel="0" collapsed="false">
      <c r="B6" s="10" t="n">
        <f aca="false">'P&amp;L'!O8</f>
        <v>18209097.58</v>
      </c>
      <c r="C6" s="10"/>
      <c r="E6" s="10" t="n">
        <f aca="false">'P&amp;L'!O26</f>
        <v>6361165.44</v>
      </c>
      <c r="F6" s="10"/>
      <c r="H6" s="11" t="n">
        <f aca="false">'P&amp;L'!O26/'P&amp;L'!O8</f>
        <v>0.34933996108554</v>
      </c>
      <c r="I6" s="11"/>
      <c r="K6" s="10" t="n">
        <f aca="false">'P&amp;L'!O32</f>
        <v>5812863.52</v>
      </c>
      <c r="L6" s="10"/>
      <c r="N6" s="10" t="n">
        <f aca="false">Cash_Flow!M23</f>
        <v>2353578.5</v>
      </c>
      <c r="O6" s="10"/>
    </row>
    <row r="7" customFormat="false" ht="15" hidden="false" customHeight="true" outlineLevel="0" collapsed="false">
      <c r="B7" s="10"/>
      <c r="C7" s="10"/>
      <c r="E7" s="10"/>
      <c r="F7" s="10"/>
      <c r="H7" s="11"/>
      <c r="I7" s="11"/>
      <c r="K7" s="10"/>
      <c r="L7" s="10"/>
      <c r="N7" s="10"/>
      <c r="O7" s="10"/>
    </row>
    <row r="10" customFormat="false" ht="15" hidden="false" customHeight="true" outlineLevel="0" collapsed="false">
      <c r="B10" s="8" t="s">
        <v>38</v>
      </c>
    </row>
    <row r="11" customFormat="false" ht="15" hidden="false" customHeight="true" outlineLevel="0" collapsed="false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50</v>
      </c>
      <c r="M11" s="1" t="s">
        <v>51</v>
      </c>
    </row>
    <row r="12" customFormat="false" ht="15" hidden="false" customHeight="true" outlineLevel="0" collapsed="false">
      <c r="A12" s="1" t="s">
        <v>52</v>
      </c>
      <c r="B12" s="12" t="n">
        <f aca="false">SUMIFS(Data_GL!$G:$G,Data_GL!$B:$B,"2025-01",Data_GL!$C:$C,"4000")+SUMIFS(Data_GL!$G:$G,Data_GL!$B:$B,"2025-01",Data_GL!$C:$C,"4010")</f>
        <v>1413032.01</v>
      </c>
      <c r="C12" s="12" t="n">
        <f aca="false">SUMIFS(Data_GL!$G:$G,Data_GL!$B:$B,"2025-02",Data_GL!$C:$C,"4000")+SUMIFS(Data_GL!$G:$G,Data_GL!$B:$B,"2025-02",Data_GL!$C:$C,"4010")</f>
        <v>1520958.19</v>
      </c>
      <c r="D12" s="12" t="n">
        <f aca="false">SUMIFS(Data_GL!$G:$G,Data_GL!$B:$B,"2025-03",Data_GL!$C:$C,"4000")+SUMIFS(Data_GL!$G:$G,Data_GL!$B:$B,"2025-03",Data_GL!$C:$C,"4010")</f>
        <v>1509294.08</v>
      </c>
      <c r="E12" s="12" t="n">
        <f aca="false">SUMIFS(Data_GL!$G:$G,Data_GL!$B:$B,"2025-04",Data_GL!$C:$C,"4000")+SUMIFS(Data_GL!$G:$G,Data_GL!$B:$B,"2025-04",Data_GL!$C:$C,"4010")</f>
        <v>1552697.38</v>
      </c>
      <c r="F12" s="12" t="n">
        <f aca="false">SUMIFS(Data_GL!$G:$G,Data_GL!$B:$B,"2025-05",Data_GL!$C:$C,"4000")+SUMIFS(Data_GL!$G:$G,Data_GL!$B:$B,"2025-05",Data_GL!$C:$C,"4010")</f>
        <v>1575904.35</v>
      </c>
      <c r="G12" s="12" t="n">
        <f aca="false">SUMIFS(Data_GL!$G:$G,Data_GL!$B:$B,"2025-06",Data_GL!$C:$C,"4000")+SUMIFS(Data_GL!$G:$G,Data_GL!$B:$B,"2025-06",Data_GL!$C:$C,"4010")</f>
        <v>1610969.15</v>
      </c>
      <c r="H12" s="12" t="n">
        <f aca="false">SUMIFS(Data_GL!$G:$G,Data_GL!$B:$B,"2025-07",Data_GL!$C:$C,"4000")+SUMIFS(Data_GL!$G:$G,Data_GL!$B:$B,"2025-07",Data_GL!$C:$C,"4010")</f>
        <v>1561755.68</v>
      </c>
      <c r="I12" s="12" t="n">
        <f aca="false">SUMIFS(Data_GL!$G:$G,Data_GL!$B:$B,"2025-08",Data_GL!$C:$C,"4000")+SUMIFS(Data_GL!$G:$G,Data_GL!$B:$B,"2025-08",Data_GL!$C:$C,"4010")</f>
        <v>1482789.63</v>
      </c>
      <c r="J12" s="12" t="n">
        <f aca="false">SUMIFS(Data_GL!$G:$G,Data_GL!$B:$B,"2025-09",Data_GL!$C:$C,"4000")+SUMIFS(Data_GL!$G:$G,Data_GL!$B:$B,"2025-09",Data_GL!$C:$C,"4010")</f>
        <v>1452931.77</v>
      </c>
      <c r="K12" s="12" t="n">
        <f aca="false">SUMIFS(Data_GL!$G:$G,Data_GL!$B:$B,"2025-10",Data_GL!$C:$C,"4000")+SUMIFS(Data_GL!$G:$G,Data_GL!$B:$B,"2025-10",Data_GL!$C:$C,"4010")</f>
        <v>1452547.45</v>
      </c>
      <c r="L12" s="12" t="n">
        <f aca="false">SUMIFS(Data_GL!$G:$G,Data_GL!$B:$B,"2025-11",Data_GL!$C:$C,"4000")+SUMIFS(Data_GL!$G:$G,Data_GL!$B:$B,"2025-11",Data_GL!$C:$C,"4010")</f>
        <v>1507520.87</v>
      </c>
      <c r="M12" s="12" t="n">
        <f aca="false">SUMIFS(Data_GL!$G:$G,Data_GL!$B:$B,"2025-12",Data_GL!$C:$C,"4000")+SUMIFS(Data_GL!$G:$G,Data_GL!$B:$B,"2025-12",Data_GL!$C:$C,"4010")</f>
        <v>1568697.02</v>
      </c>
    </row>
    <row r="13" customFormat="false" ht="15" hidden="false" customHeight="true" outlineLevel="0" collapsed="false">
      <c r="A13" s="1" t="s">
        <v>53</v>
      </c>
      <c r="B13" s="13" t="n">
        <f aca="false">IF(B12=0,0,(B12-(SUMIFS(Data_GL!$G:$G,Data_GL!$B:$B,"2025-01",Data_GL!$C:$C,"5000")+SUMIFS(Data_GL!$G:$G,Data_GL!$B:$B,"2025-01",Data_GL!$C:$C,"5010"))-(SUMIFS(Data_GL!$G:$G,Data_GL!$B:$B,"2025-01",Data_GL!$C:$C,"6000")+SUMIFS(Data_GL!$G:$G,Data_GL!$B:$B,"2025-01",Data_GL!$C:$C,"6010")+SUMIFS(Data_GL!$G:$G,Data_GL!$B:$B,"2025-01",Data_GL!$C:$C,"6020")+SUMIFS(Data_GL!$G:$G,Data_GL!$B:$B,"2025-01",Data_GL!$C:$C,"6030")+SUMIFS(Data_GL!$G:$G,Data_GL!$B:$B,"2025-01",Data_GL!$C:$C,"6040")))/B12)</f>
        <v>0.353428582272528</v>
      </c>
      <c r="C13" s="13" t="n">
        <f aca="false">IF(C12=0,0,(C12-(SUMIFS(Data_GL!$G:$G,Data_GL!$B:$B,"2025-02",Data_GL!$C:$C,"5000")+SUMIFS(Data_GL!$G:$G,Data_GL!$B:$B,"2025-02",Data_GL!$C:$C,"5010"))-(SUMIFS(Data_GL!$G:$G,Data_GL!$B:$B,"2025-02",Data_GL!$C:$C,"6000")+SUMIFS(Data_GL!$G:$G,Data_GL!$B:$B,"2025-02",Data_GL!$C:$C,"6010")+SUMIFS(Data_GL!$G:$G,Data_GL!$B:$B,"2025-02",Data_GL!$C:$C,"6020")+SUMIFS(Data_GL!$G:$G,Data_GL!$B:$B,"2025-02",Data_GL!$C:$C,"6030")+SUMIFS(Data_GL!$G:$G,Data_GL!$B:$B,"2025-02",Data_GL!$C:$C,"6040")))/C12)</f>
        <v>0.349976826121696</v>
      </c>
      <c r="D13" s="13" t="n">
        <f aca="false">IF(D12=0,0,(D12-(SUMIFS(Data_GL!$G:$G,Data_GL!$B:$B,"2025-03",Data_GL!$C:$C,"5000")+SUMIFS(Data_GL!$G:$G,Data_GL!$B:$B,"2025-03",Data_GL!$C:$C,"5010"))-(SUMIFS(Data_GL!$G:$G,Data_GL!$B:$B,"2025-03",Data_GL!$C:$C,"6000")+SUMIFS(Data_GL!$G:$G,Data_GL!$B:$B,"2025-03",Data_GL!$C:$C,"6010")+SUMIFS(Data_GL!$G:$G,Data_GL!$B:$B,"2025-03",Data_GL!$C:$C,"6020")+SUMIFS(Data_GL!$G:$G,Data_GL!$B:$B,"2025-03",Data_GL!$C:$C,"6030")+SUMIFS(Data_GL!$G:$G,Data_GL!$B:$B,"2025-03",Data_GL!$C:$C,"6040")))/D12)</f>
        <v>0.352554115895028</v>
      </c>
      <c r="E13" s="13" t="n">
        <f aca="false">IF(E12=0,0,(E12-(SUMIFS(Data_GL!$G:$G,Data_GL!$B:$B,"2025-04",Data_GL!$C:$C,"5000")+SUMIFS(Data_GL!$G:$G,Data_GL!$B:$B,"2025-04",Data_GL!$C:$C,"5010"))-(SUMIFS(Data_GL!$G:$G,Data_GL!$B:$B,"2025-04",Data_GL!$C:$C,"6000")+SUMIFS(Data_GL!$G:$G,Data_GL!$B:$B,"2025-04",Data_GL!$C:$C,"6010")+SUMIFS(Data_GL!$G:$G,Data_GL!$B:$B,"2025-04",Data_GL!$C:$C,"6020")+SUMIFS(Data_GL!$G:$G,Data_GL!$B:$B,"2025-04",Data_GL!$C:$C,"6030")+SUMIFS(Data_GL!$G:$G,Data_GL!$B:$B,"2025-04",Data_GL!$C:$C,"6040")))/E12)</f>
        <v>0.349689493261076</v>
      </c>
      <c r="F13" s="13" t="n">
        <f aca="false">IF(F12=0,0,(F12-(SUMIFS(Data_GL!$G:$G,Data_GL!$B:$B,"2025-05",Data_GL!$C:$C,"5000")+SUMIFS(Data_GL!$G:$G,Data_GL!$B:$B,"2025-05",Data_GL!$C:$C,"5010"))-(SUMIFS(Data_GL!$G:$G,Data_GL!$B:$B,"2025-05",Data_GL!$C:$C,"6000")+SUMIFS(Data_GL!$G:$G,Data_GL!$B:$B,"2025-05",Data_GL!$C:$C,"6010")+SUMIFS(Data_GL!$G:$G,Data_GL!$B:$B,"2025-05",Data_GL!$C:$C,"6020")+SUMIFS(Data_GL!$G:$G,Data_GL!$B:$B,"2025-05",Data_GL!$C:$C,"6030")+SUMIFS(Data_GL!$G:$G,Data_GL!$B:$B,"2025-05",Data_GL!$C:$C,"6040")))/F12)</f>
        <v>0.346752041137522</v>
      </c>
      <c r="G13" s="13" t="n">
        <f aca="false">IF(G12=0,0,(G12-(SUMIFS(Data_GL!$G:$G,Data_GL!$B:$B,"2025-06",Data_GL!$C:$C,"5000")+SUMIFS(Data_GL!$G:$G,Data_GL!$B:$B,"2025-06",Data_GL!$C:$C,"5010"))-(SUMIFS(Data_GL!$G:$G,Data_GL!$B:$B,"2025-06",Data_GL!$C:$C,"6000")+SUMIFS(Data_GL!$G:$G,Data_GL!$B:$B,"2025-06",Data_GL!$C:$C,"6010")+SUMIFS(Data_GL!$G:$G,Data_GL!$B:$B,"2025-06",Data_GL!$C:$C,"6020")+SUMIFS(Data_GL!$G:$G,Data_GL!$B:$B,"2025-06",Data_GL!$C:$C,"6030")+SUMIFS(Data_GL!$G:$G,Data_GL!$B:$B,"2025-06",Data_GL!$C:$C,"6040")))/G12)</f>
        <v>0.355678902975889</v>
      </c>
      <c r="H13" s="13" t="n">
        <f aca="false">IF(H12=0,0,(H12-(SUMIFS(Data_GL!$G:$G,Data_GL!$B:$B,"2025-07",Data_GL!$C:$C,"5000")+SUMIFS(Data_GL!$G:$G,Data_GL!$B:$B,"2025-07",Data_GL!$C:$C,"5010"))-(SUMIFS(Data_GL!$G:$G,Data_GL!$B:$B,"2025-07",Data_GL!$C:$C,"6000")+SUMIFS(Data_GL!$G:$G,Data_GL!$B:$B,"2025-07",Data_GL!$C:$C,"6010")+SUMIFS(Data_GL!$G:$G,Data_GL!$B:$B,"2025-07",Data_GL!$C:$C,"6020")+SUMIFS(Data_GL!$G:$G,Data_GL!$B:$B,"2025-07",Data_GL!$C:$C,"6030")+SUMIFS(Data_GL!$G:$G,Data_GL!$B:$B,"2025-07",Data_GL!$C:$C,"6040")))/H12)</f>
        <v>0.348210649696501</v>
      </c>
      <c r="I13" s="13" t="n">
        <f aca="false">IF(I12=0,0,(I12-(SUMIFS(Data_GL!$G:$G,Data_GL!$B:$B,"2025-08",Data_GL!$C:$C,"5000")+SUMIFS(Data_GL!$G:$G,Data_GL!$B:$B,"2025-08",Data_GL!$C:$C,"5010"))-(SUMIFS(Data_GL!$G:$G,Data_GL!$B:$B,"2025-08",Data_GL!$C:$C,"6000")+SUMIFS(Data_GL!$G:$G,Data_GL!$B:$B,"2025-08",Data_GL!$C:$C,"6010")+SUMIFS(Data_GL!$G:$G,Data_GL!$B:$B,"2025-08",Data_GL!$C:$C,"6020")+SUMIFS(Data_GL!$G:$G,Data_GL!$B:$B,"2025-08",Data_GL!$C:$C,"6030")+SUMIFS(Data_GL!$G:$G,Data_GL!$B:$B,"2025-08",Data_GL!$C:$C,"6040")))/I12)</f>
        <v>0.3510283316454</v>
      </c>
      <c r="J13" s="13" t="n">
        <f aca="false">IF(J12=0,0,(J12-(SUMIFS(Data_GL!$G:$G,Data_GL!$B:$B,"2025-09",Data_GL!$C:$C,"5000")+SUMIFS(Data_GL!$G:$G,Data_GL!$B:$B,"2025-09",Data_GL!$C:$C,"5010"))-(SUMIFS(Data_GL!$G:$G,Data_GL!$B:$B,"2025-09",Data_GL!$C:$C,"6000")+SUMIFS(Data_GL!$G:$G,Data_GL!$B:$B,"2025-09",Data_GL!$C:$C,"6010")+SUMIFS(Data_GL!$G:$G,Data_GL!$B:$B,"2025-09",Data_GL!$C:$C,"6020")+SUMIFS(Data_GL!$G:$G,Data_GL!$B:$B,"2025-09",Data_GL!$C:$C,"6030")+SUMIFS(Data_GL!$G:$G,Data_GL!$B:$B,"2025-09",Data_GL!$C:$C,"6040")))/J12)</f>
        <v>0.345668282826523</v>
      </c>
      <c r="K13" s="13" t="n">
        <f aca="false">IF(K12=0,0,(K12-(SUMIFS(Data_GL!$G:$G,Data_GL!$B:$B,"2025-10",Data_GL!$C:$C,"5000")+SUMIFS(Data_GL!$G:$G,Data_GL!$B:$B,"2025-10",Data_GL!$C:$C,"5010"))-(SUMIFS(Data_GL!$G:$G,Data_GL!$B:$B,"2025-10",Data_GL!$C:$C,"6000")+SUMIFS(Data_GL!$G:$G,Data_GL!$B:$B,"2025-10",Data_GL!$C:$C,"6010")+SUMIFS(Data_GL!$G:$G,Data_GL!$B:$B,"2025-10",Data_GL!$C:$C,"6020")+SUMIFS(Data_GL!$G:$G,Data_GL!$B:$B,"2025-10",Data_GL!$C:$C,"6030")+SUMIFS(Data_GL!$G:$G,Data_GL!$B:$B,"2025-10",Data_GL!$C:$C,"6040")))/K12)</f>
        <v>0.344763952461587</v>
      </c>
      <c r="L13" s="13" t="n">
        <f aca="false">IF(L12=0,0,(L12-(SUMIFS(Data_GL!$G:$G,Data_GL!$B:$B,"2025-11",Data_GL!$C:$C,"5000")+SUMIFS(Data_GL!$G:$G,Data_GL!$B:$B,"2025-11",Data_GL!$C:$C,"5010"))-(SUMIFS(Data_GL!$G:$G,Data_GL!$B:$B,"2025-11",Data_GL!$C:$C,"6000")+SUMIFS(Data_GL!$G:$G,Data_GL!$B:$B,"2025-11",Data_GL!$C:$C,"6010")+SUMIFS(Data_GL!$G:$G,Data_GL!$B:$B,"2025-11",Data_GL!$C:$C,"6020")+SUMIFS(Data_GL!$G:$G,Data_GL!$B:$B,"2025-11",Data_GL!$C:$C,"6030")+SUMIFS(Data_GL!$G:$G,Data_GL!$B:$B,"2025-11",Data_GL!$C:$C,"6040")))/L12)</f>
        <v>0.343198432801796</v>
      </c>
      <c r="M13" s="13" t="n">
        <f aca="false">IF(M12=0,0,(M12-(SUMIFS(Data_GL!$G:$G,Data_GL!$B:$B,"2025-12",Data_GL!$C:$C,"5000")+SUMIFS(Data_GL!$G:$G,Data_GL!$B:$B,"2025-12",Data_GL!$C:$C,"5010"))-(SUMIFS(Data_GL!$G:$G,Data_GL!$B:$B,"2025-12",Data_GL!$C:$C,"6000")+SUMIFS(Data_GL!$G:$G,Data_GL!$B:$B,"2025-12",Data_GL!$C:$C,"6010")+SUMIFS(Data_GL!$G:$G,Data_GL!$B:$B,"2025-12",Data_GL!$C:$C,"6020")+SUMIFS(Data_GL!$G:$G,Data_GL!$B:$B,"2025-12",Data_GL!$C:$C,"6030")+SUMIFS(Data_GL!$G:$G,Data_GL!$B:$B,"2025-12",Data_GL!$C:$C,"6040")))/M12)</f>
        <v>0.350759555851008</v>
      </c>
    </row>
    <row r="15" customFormat="false" ht="15" hidden="false" customHeight="true" outlineLevel="0" collapsed="false">
      <c r="A15" s="1" t="s">
        <v>54</v>
      </c>
    </row>
    <row r="16" customFormat="false" ht="15" hidden="false" customHeight="true" outlineLevel="0" collapsed="false">
      <c r="A16" s="1" t="s">
        <v>55</v>
      </c>
      <c r="B16" s="12" t="n">
        <f aca="false">SUMIFS(Data_GL!$G:$G,Data_GL!$C:$C,"4000")+SUMIFS(Data_GL!$G:$G,Data_GL!$C:$C,"4010")</f>
        <v>18209097.58</v>
      </c>
    </row>
    <row r="17" customFormat="false" ht="15" hidden="false" customHeight="true" outlineLevel="0" collapsed="false">
      <c r="A17" s="1" t="s">
        <v>56</v>
      </c>
      <c r="B17" s="12" t="n">
        <f aca="false">SUMIFS(Data_Budget!$F:$F,Data_Budget!$C:$C,"4000")+SUMIFS(Data_Budget!$F:$F,Data_Budget!$C:$C,"4010")</f>
        <v>25476861.36</v>
      </c>
    </row>
    <row r="19" customFormat="false" ht="15" hidden="false" customHeight="true" outlineLevel="0" collapsed="false">
      <c r="A19" s="1" t="s">
        <v>57</v>
      </c>
      <c r="B19" s="1" t="s">
        <v>58</v>
      </c>
    </row>
    <row r="20" customFormat="false" ht="15" hidden="false" customHeight="true" outlineLevel="0" collapsed="false">
      <c r="A20" s="1" t="s">
        <v>59</v>
      </c>
      <c r="B20" s="12" t="n">
        <f aca="false">SUMIFS(Data_GL!$G:$G,Data_GL!$F:$F,"CC100",Data_GL!$E:$E,"OpEx")</f>
        <v>900185.16</v>
      </c>
    </row>
    <row r="21" customFormat="false" ht="15" hidden="false" customHeight="true" outlineLevel="0" collapsed="false">
      <c r="A21" s="1" t="s">
        <v>60</v>
      </c>
      <c r="B21" s="12" t="n">
        <f aca="false">SUMIFS(Data_GL!$G:$G,Data_GL!$F:$F,"CC200",Data_GL!$E:$E,"OpEx")</f>
        <v>366210.93</v>
      </c>
    </row>
    <row r="22" customFormat="false" ht="15" hidden="false" customHeight="true" outlineLevel="0" collapsed="false">
      <c r="A22" s="1" t="s">
        <v>61</v>
      </c>
      <c r="B22" s="12" t="n">
        <f aca="false">SUMIFS(Data_GL!$G:$G,Data_GL!$F:$F,"CC300",Data_GL!$E:$E,"OpEx")</f>
        <v>3566648.2</v>
      </c>
    </row>
    <row r="23" customFormat="false" ht="15" hidden="false" customHeight="true" outlineLevel="0" collapsed="false">
      <c r="A23" s="1" t="s">
        <v>62</v>
      </c>
      <c r="B23" s="12" t="n">
        <f aca="false">SUMIFS(Data_GL!$G:$G,Data_GL!$F:$F,"CC400",Data_GL!$E:$E,"OpEx")</f>
        <v>461641.7</v>
      </c>
    </row>
    <row r="24" customFormat="false" ht="15" hidden="false" customHeight="true" outlineLevel="0" collapsed="false">
      <c r="A24" s="1" t="s">
        <v>63</v>
      </c>
      <c r="B24" s="12" t="n">
        <f aca="false">SUMIFS(Data_GL!$G:$G,Data_GL!$F:$F,"UNALLOCATED",Data_GL!$E:$E,"OpEx")</f>
        <v>0</v>
      </c>
    </row>
  </sheetData>
  <mergeCells count="10">
    <mergeCell ref="B5:C5"/>
    <mergeCell ref="E5:F5"/>
    <mergeCell ref="H5:I5"/>
    <mergeCell ref="K5:L5"/>
    <mergeCell ref="N5:O5"/>
    <mergeCell ref="B6:C7"/>
    <mergeCell ref="E6:F7"/>
    <mergeCell ref="H6:I7"/>
    <mergeCell ref="K6:L7"/>
    <mergeCell ref="N6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1"/>
    <col collapsed="false" customWidth="true" hidden="false" outlineLevel="0" max="15" min="14" style="1" width="16"/>
  </cols>
  <sheetData>
    <row r="2" customFormat="false" ht="15" hidden="false" customHeight="true" outlineLevel="0" collapsed="false">
      <c r="B2" s="4" t="s">
        <v>64</v>
      </c>
      <c r="C2" s="14" t="s">
        <v>65</v>
      </c>
      <c r="D2" s="8" t="s">
        <v>66</v>
      </c>
    </row>
    <row r="4" customFormat="false" ht="39" hidden="false" customHeight="true" outlineLevel="0" collapsed="false">
      <c r="A4" s="15" t="s">
        <v>67</v>
      </c>
      <c r="B4" s="15" t="s">
        <v>40</v>
      </c>
      <c r="C4" s="15" t="s">
        <v>41</v>
      </c>
      <c r="D4" s="15" t="s">
        <v>42</v>
      </c>
      <c r="E4" s="15" t="s">
        <v>43</v>
      </c>
      <c r="F4" s="15" t="s">
        <v>44</v>
      </c>
      <c r="G4" s="15" t="s">
        <v>45</v>
      </c>
      <c r="H4" s="15" t="s">
        <v>46</v>
      </c>
      <c r="I4" s="15" t="s">
        <v>47</v>
      </c>
      <c r="J4" s="15" t="s">
        <v>48</v>
      </c>
      <c r="K4" s="15" t="s">
        <v>49</v>
      </c>
      <c r="L4" s="15" t="s">
        <v>50</v>
      </c>
      <c r="M4" s="15" t="s">
        <v>51</v>
      </c>
      <c r="N4" s="15" t="s">
        <v>68</v>
      </c>
      <c r="O4" s="15" t="s">
        <v>69</v>
      </c>
    </row>
    <row r="5" customFormat="false" ht="15" hidden="false" customHeight="true" outlineLevel="0" collapsed="false">
      <c r="A5" s="4" t="s">
        <v>52</v>
      </c>
    </row>
    <row r="6" customFormat="false" ht="15" hidden="false" customHeight="true" outlineLevel="0" collapsed="false">
      <c r="A6" s="1" t="s">
        <v>70</v>
      </c>
      <c r="B6" s="16" t="n">
        <f aca="false">SUMIFS(Data_GL!$G:$G,Data_GL!$A:$A,$C$2,Data_GL!$B:$B,"2025-01",Data_GL!$C:$C,"4000")</f>
        <v>371697.5</v>
      </c>
      <c r="C6" s="16" t="n">
        <f aca="false">SUMIFS(Data_GL!$G:$G,Data_GL!$A:$A,$C$2,Data_GL!$B:$B,"2025-02",Data_GL!$C:$C,"4000")</f>
        <v>390929.8</v>
      </c>
      <c r="D6" s="16" t="n">
        <f aca="false">SUMIFS(Data_GL!$G:$G,Data_GL!$A:$A,$C$2,Data_GL!$B:$B,"2025-03",Data_GL!$C:$C,"4000")</f>
        <v>383100.69</v>
      </c>
      <c r="E6" s="16" t="n">
        <f aca="false">SUMIFS(Data_GL!$G:$G,Data_GL!$A:$A,$C$2,Data_GL!$B:$B,"2025-04",Data_GL!$C:$C,"4000")</f>
        <v>403134.27</v>
      </c>
      <c r="F6" s="16" t="n">
        <f aca="false">SUMIFS(Data_GL!$G:$G,Data_GL!$A:$A,$C$2,Data_GL!$B:$B,"2025-05",Data_GL!$C:$C,"4000")</f>
        <v>405702.79</v>
      </c>
      <c r="G6" s="16" t="n">
        <f aca="false">SUMIFS(Data_GL!$G:$G,Data_GL!$A:$A,$C$2,Data_GL!$B:$B,"2025-06",Data_GL!$C:$C,"4000")</f>
        <v>401790.83</v>
      </c>
      <c r="H6" s="16" t="n">
        <f aca="false">SUMIFS(Data_GL!$G:$G,Data_GL!$A:$A,$C$2,Data_GL!$B:$B,"2025-07",Data_GL!$C:$C,"4000")</f>
        <v>402323.41</v>
      </c>
      <c r="I6" s="16" t="n">
        <f aca="false">SUMIFS(Data_GL!$G:$G,Data_GL!$A:$A,$C$2,Data_GL!$B:$B,"2025-08",Data_GL!$C:$C,"4000")</f>
        <v>368521.33</v>
      </c>
      <c r="J6" s="16" t="n">
        <f aca="false">SUMIFS(Data_GL!$G:$G,Data_GL!$A:$A,$C$2,Data_GL!$B:$B,"2025-09",Data_GL!$C:$C,"4000")</f>
        <v>368145.89</v>
      </c>
      <c r="K6" s="16" t="n">
        <f aca="false">SUMIFS(Data_GL!$G:$G,Data_GL!$A:$A,$C$2,Data_GL!$B:$B,"2025-10",Data_GL!$C:$C,"4000")</f>
        <v>368257.78</v>
      </c>
      <c r="L6" s="16" t="n">
        <f aca="false">SUMIFS(Data_GL!$G:$G,Data_GL!$A:$A,$C$2,Data_GL!$B:$B,"2025-11",Data_GL!$C:$C,"4000")</f>
        <v>397041.73</v>
      </c>
      <c r="M6" s="16" t="n">
        <f aca="false">SUMIFS(Data_GL!$G:$G,Data_GL!$A:$A,$C$2,Data_GL!$B:$B,"2025-12",Data_GL!$C:$C,"4000")</f>
        <v>406076.36</v>
      </c>
      <c r="N6" s="12" t="n">
        <f aca="false">SUM(B6:M6)</f>
        <v>4666722.38</v>
      </c>
      <c r="O6" s="16" t="n">
        <f aca="false">SUMIFS(Data_GL!$G:$G,Data_GL!$C:$C,"4000")</f>
        <v>12746368.32</v>
      </c>
    </row>
    <row r="7" customFormat="false" ht="15" hidden="false" customHeight="true" outlineLevel="0" collapsed="false">
      <c r="A7" s="1" t="s">
        <v>71</v>
      </c>
      <c r="B7" s="16" t="n">
        <f aca="false">SUMIFS(Data_GL!$G:$G,Data_GL!$A:$A,$C$2,Data_GL!$B:$B,"2025-01",Data_GL!$C:$C,"4010")</f>
        <v>159298.93</v>
      </c>
      <c r="C7" s="16" t="n">
        <f aca="false">SUMIFS(Data_GL!$G:$G,Data_GL!$A:$A,$C$2,Data_GL!$B:$B,"2025-02",Data_GL!$C:$C,"4010")</f>
        <v>167541.34</v>
      </c>
      <c r="D7" s="16" t="n">
        <f aca="false">SUMIFS(Data_GL!$G:$G,Data_GL!$A:$A,$C$2,Data_GL!$B:$B,"2025-03",Data_GL!$C:$C,"4010")</f>
        <v>164186</v>
      </c>
      <c r="E7" s="16" t="n">
        <f aca="false">SUMIFS(Data_GL!$G:$G,Data_GL!$A:$A,$C$2,Data_GL!$B:$B,"2025-04",Data_GL!$C:$C,"4010")</f>
        <v>172771.83</v>
      </c>
      <c r="F7" s="16" t="n">
        <f aca="false">SUMIFS(Data_GL!$G:$G,Data_GL!$A:$A,$C$2,Data_GL!$B:$B,"2025-05",Data_GL!$C:$C,"4010")</f>
        <v>173872.62</v>
      </c>
      <c r="G7" s="16" t="n">
        <f aca="false">SUMIFS(Data_GL!$G:$G,Data_GL!$A:$A,$C$2,Data_GL!$B:$B,"2025-06",Data_GL!$C:$C,"4010")</f>
        <v>172196.07</v>
      </c>
      <c r="H7" s="16" t="n">
        <f aca="false">SUMIFS(Data_GL!$G:$G,Data_GL!$A:$A,$C$2,Data_GL!$B:$B,"2025-07",Data_GL!$C:$C,"4010")</f>
        <v>172424.32</v>
      </c>
      <c r="I7" s="16" t="n">
        <f aca="false">SUMIFS(Data_GL!$G:$G,Data_GL!$A:$A,$C$2,Data_GL!$B:$B,"2025-08",Data_GL!$C:$C,"4010")</f>
        <v>157937.71</v>
      </c>
      <c r="J7" s="16" t="n">
        <f aca="false">SUMIFS(Data_GL!$G:$G,Data_GL!$A:$A,$C$2,Data_GL!$B:$B,"2025-09",Data_GL!$C:$C,"4010")</f>
        <v>157776.81</v>
      </c>
      <c r="K7" s="16" t="n">
        <f aca="false">SUMIFS(Data_GL!$G:$G,Data_GL!$A:$A,$C$2,Data_GL!$B:$B,"2025-10",Data_GL!$C:$C,"4010")</f>
        <v>157824.76</v>
      </c>
      <c r="L7" s="16" t="n">
        <f aca="false">SUMIFS(Data_GL!$G:$G,Data_GL!$A:$A,$C$2,Data_GL!$B:$B,"2025-11",Data_GL!$C:$C,"4010")</f>
        <v>170160.74</v>
      </c>
      <c r="M7" s="16" t="n">
        <f aca="false">SUMIFS(Data_GL!$G:$G,Data_GL!$A:$A,$C$2,Data_GL!$B:$B,"2025-12",Data_GL!$C:$C,"4010")</f>
        <v>174032.73</v>
      </c>
      <c r="N7" s="12" t="n">
        <f aca="false">SUM(B7:M7)</f>
        <v>2000023.86</v>
      </c>
      <c r="O7" s="16" t="n">
        <f aca="false">SUMIFS(Data_GL!$G:$G,Data_GL!$C:$C,"4010")</f>
        <v>5462729.26</v>
      </c>
    </row>
    <row r="8" customFormat="false" ht="15" hidden="false" customHeight="true" outlineLevel="0" collapsed="false">
      <c r="A8" s="17" t="s">
        <v>72</v>
      </c>
      <c r="B8" s="18" t="n">
        <f aca="false">B6+B7</f>
        <v>530996.43</v>
      </c>
      <c r="C8" s="18" t="n">
        <f aca="false">C6+C7</f>
        <v>558471.14</v>
      </c>
      <c r="D8" s="18" t="n">
        <f aca="false">D6+D7</f>
        <v>547286.69</v>
      </c>
      <c r="E8" s="18" t="n">
        <f aca="false">E6+E7</f>
        <v>575906.1</v>
      </c>
      <c r="F8" s="18" t="n">
        <f aca="false">F6+F7</f>
        <v>579575.41</v>
      </c>
      <c r="G8" s="18" t="n">
        <f aca="false">G6+G7</f>
        <v>573986.9</v>
      </c>
      <c r="H8" s="18" t="n">
        <f aca="false">H6+H7</f>
        <v>574747.73</v>
      </c>
      <c r="I8" s="18" t="n">
        <f aca="false">I6+I7</f>
        <v>526459.04</v>
      </c>
      <c r="J8" s="18" t="n">
        <f aca="false">J6+J7</f>
        <v>525922.7</v>
      </c>
      <c r="K8" s="18" t="n">
        <f aca="false">K6+K7</f>
        <v>526082.54</v>
      </c>
      <c r="L8" s="18" t="n">
        <f aca="false">L6+L7</f>
        <v>567202.47</v>
      </c>
      <c r="M8" s="18" t="n">
        <f aca="false">M6+M7</f>
        <v>580109.09</v>
      </c>
      <c r="N8" s="18" t="n">
        <f aca="false">N6+N7</f>
        <v>6666746.24</v>
      </c>
      <c r="O8" s="18" t="n">
        <f aca="false">O6+O7</f>
        <v>18209097.58</v>
      </c>
    </row>
    <row r="10" customFormat="false" ht="15" hidden="false" customHeight="true" outlineLevel="0" collapsed="false">
      <c r="A10" s="4" t="s">
        <v>73</v>
      </c>
    </row>
    <row r="11" customFormat="false" ht="15" hidden="false" customHeight="true" outlineLevel="0" collapsed="false">
      <c r="A11" s="1" t="s">
        <v>74</v>
      </c>
      <c r="B11" s="16" t="n">
        <f aca="false">SUMIFS(Data_GL!$G:$G,Data_GL!$A:$A,$C$2,Data_GL!$B:$B,"2025-01",Data_GL!$C:$C,"5000")</f>
        <v>169918.86</v>
      </c>
      <c r="C11" s="16" t="n">
        <f aca="false">SUMIFS(Data_GL!$G:$G,Data_GL!$A:$A,$C$2,Data_GL!$B:$B,"2025-02",Data_GL!$C:$C,"5000")</f>
        <v>178710.76</v>
      </c>
      <c r="D11" s="16" t="n">
        <f aca="false">SUMIFS(Data_GL!$G:$G,Data_GL!$A:$A,$C$2,Data_GL!$B:$B,"2025-03",Data_GL!$C:$C,"5000")</f>
        <v>175131.74</v>
      </c>
      <c r="E11" s="16" t="n">
        <f aca="false">SUMIFS(Data_GL!$G:$G,Data_GL!$A:$A,$C$2,Data_GL!$B:$B,"2025-04",Data_GL!$C:$C,"5000")</f>
        <v>184289.95</v>
      </c>
      <c r="F11" s="16" t="n">
        <f aca="false">SUMIFS(Data_GL!$G:$G,Data_GL!$A:$A,$C$2,Data_GL!$B:$B,"2025-05",Data_GL!$C:$C,"5000")</f>
        <v>185464.13</v>
      </c>
      <c r="G11" s="16" t="n">
        <f aca="false">SUMIFS(Data_GL!$G:$G,Data_GL!$A:$A,$C$2,Data_GL!$B:$B,"2025-06",Data_GL!$C:$C,"5000")</f>
        <v>183675.81</v>
      </c>
      <c r="H11" s="16" t="n">
        <f aca="false">SUMIFS(Data_GL!$G:$G,Data_GL!$A:$A,$C$2,Data_GL!$B:$B,"2025-07",Data_GL!$C:$C,"5000")</f>
        <v>183919.28</v>
      </c>
      <c r="I11" s="16" t="n">
        <f aca="false">SUMIFS(Data_GL!$G:$G,Data_GL!$A:$A,$C$2,Data_GL!$B:$B,"2025-08",Data_GL!$C:$C,"5000")</f>
        <v>168466.89</v>
      </c>
      <c r="J11" s="16" t="n">
        <f aca="false">SUMIFS(Data_GL!$G:$G,Data_GL!$A:$A,$C$2,Data_GL!$B:$B,"2025-09",Data_GL!$C:$C,"5000")</f>
        <v>168295.26</v>
      </c>
      <c r="K11" s="16" t="n">
        <f aca="false">SUMIFS(Data_GL!$G:$G,Data_GL!$A:$A,$C$2,Data_GL!$B:$B,"2025-10",Data_GL!$C:$C,"5000")</f>
        <v>168346.41</v>
      </c>
      <c r="L11" s="16" t="n">
        <f aca="false">SUMIFS(Data_GL!$G:$G,Data_GL!$A:$A,$C$2,Data_GL!$B:$B,"2025-11",Data_GL!$C:$C,"5000")</f>
        <v>181504.8</v>
      </c>
      <c r="M11" s="16" t="n">
        <f aca="false">SUMIFS(Data_GL!$G:$G,Data_GL!$A:$A,$C$2,Data_GL!$B:$B,"2025-12",Data_GL!$C:$C,"5000")</f>
        <v>185634.91</v>
      </c>
      <c r="N11" s="12" t="n">
        <f aca="false">SUM(B11:M11)</f>
        <v>2133358.8</v>
      </c>
      <c r="O11" s="16" t="n">
        <f aca="false">SUMIFS(Data_GL!$G:$G,Data_GL!$C:$C,"5000")</f>
        <v>5826911.24</v>
      </c>
    </row>
    <row r="12" customFormat="false" ht="15" hidden="false" customHeight="true" outlineLevel="0" collapsed="false">
      <c r="A12" s="1" t="s">
        <v>75</v>
      </c>
      <c r="B12" s="16" t="n">
        <f aca="false">SUMIFS(Data_GL!$G:$G,Data_GL!$A:$A,$C$2,Data_GL!$B:$B,"2025-01",Data_GL!$C:$C,"5010")</f>
        <v>31859.78</v>
      </c>
      <c r="C12" s="16" t="n">
        <f aca="false">SUMIFS(Data_GL!$G:$G,Data_GL!$A:$A,$C$2,Data_GL!$B:$B,"2025-02",Data_GL!$C:$C,"5010")</f>
        <v>33508.26</v>
      </c>
      <c r="D12" s="16" t="n">
        <f aca="false">SUMIFS(Data_GL!$G:$G,Data_GL!$A:$A,$C$2,Data_GL!$B:$B,"2025-03",Data_GL!$C:$C,"5010")</f>
        <v>32837.2</v>
      </c>
      <c r="E12" s="16" t="n">
        <f aca="false">SUMIFS(Data_GL!$G:$G,Data_GL!$A:$A,$C$2,Data_GL!$B:$B,"2025-04",Data_GL!$C:$C,"5010")</f>
        <v>34554.37</v>
      </c>
      <c r="F12" s="16" t="n">
        <f aca="false">SUMIFS(Data_GL!$G:$G,Data_GL!$A:$A,$C$2,Data_GL!$B:$B,"2025-05",Data_GL!$C:$C,"5010")</f>
        <v>34774.52</v>
      </c>
      <c r="G12" s="16" t="n">
        <f aca="false">SUMIFS(Data_GL!$G:$G,Data_GL!$A:$A,$C$2,Data_GL!$B:$B,"2025-06",Data_GL!$C:$C,"5010")</f>
        <v>34439.22</v>
      </c>
      <c r="H12" s="16" t="n">
        <f aca="false">SUMIFS(Data_GL!$G:$G,Data_GL!$A:$A,$C$2,Data_GL!$B:$B,"2025-07",Data_GL!$C:$C,"5010")</f>
        <v>34484.86</v>
      </c>
      <c r="I12" s="16" t="n">
        <f aca="false">SUMIFS(Data_GL!$G:$G,Data_GL!$A:$A,$C$2,Data_GL!$B:$B,"2025-08",Data_GL!$C:$C,"5010")</f>
        <v>31587.54</v>
      </c>
      <c r="J12" s="16" t="n">
        <f aca="false">SUMIFS(Data_GL!$G:$G,Data_GL!$A:$A,$C$2,Data_GL!$B:$B,"2025-09",Data_GL!$C:$C,"5010")</f>
        <v>31555.36</v>
      </c>
      <c r="K12" s="16" t="n">
        <f aca="false">SUMIFS(Data_GL!$G:$G,Data_GL!$A:$A,$C$2,Data_GL!$B:$B,"2025-10",Data_GL!$C:$C,"5010")</f>
        <v>31564.95</v>
      </c>
      <c r="L12" s="16" t="n">
        <f aca="false">SUMIFS(Data_GL!$G:$G,Data_GL!$A:$A,$C$2,Data_GL!$B:$B,"2025-11",Data_GL!$C:$C,"5010")</f>
        <v>34032.15</v>
      </c>
      <c r="M12" s="16" t="n">
        <f aca="false">SUMIFS(Data_GL!$G:$G,Data_GL!$A:$A,$C$2,Data_GL!$B:$B,"2025-12",Data_GL!$C:$C,"5010")</f>
        <v>34806.55</v>
      </c>
      <c r="N12" s="12" t="n">
        <f aca="false">SUM(B12:M12)</f>
        <v>400004.76</v>
      </c>
      <c r="O12" s="16" t="n">
        <f aca="false">SUMIFS(Data_GL!$G:$G,Data_GL!$C:$C,"5010")</f>
        <v>1092545.84</v>
      </c>
    </row>
    <row r="13" customFormat="false" ht="15" hidden="false" customHeight="true" outlineLevel="0" collapsed="false">
      <c r="A13" s="17" t="s">
        <v>76</v>
      </c>
      <c r="B13" s="18" t="n">
        <f aca="false">B11+B12</f>
        <v>201778.64</v>
      </c>
      <c r="C13" s="18" t="n">
        <f aca="false">C11+C12</f>
        <v>212219.02</v>
      </c>
      <c r="D13" s="18" t="n">
        <f aca="false">D11+D12</f>
        <v>207968.94</v>
      </c>
      <c r="E13" s="18" t="n">
        <f aca="false">E11+E12</f>
        <v>218844.32</v>
      </c>
      <c r="F13" s="18" t="n">
        <f aca="false">F11+F12</f>
        <v>220238.65</v>
      </c>
      <c r="G13" s="18" t="n">
        <f aca="false">G11+G12</f>
        <v>218115.03</v>
      </c>
      <c r="H13" s="18" t="n">
        <f aca="false">H11+H12</f>
        <v>218404.14</v>
      </c>
      <c r="I13" s="18" t="n">
        <f aca="false">I11+I12</f>
        <v>200054.43</v>
      </c>
      <c r="J13" s="18" t="n">
        <f aca="false">J11+J12</f>
        <v>199850.62</v>
      </c>
      <c r="K13" s="18" t="n">
        <f aca="false">K11+K12</f>
        <v>199911.36</v>
      </c>
      <c r="L13" s="18" t="n">
        <f aca="false">L11+L12</f>
        <v>215536.95</v>
      </c>
      <c r="M13" s="18" t="n">
        <f aca="false">M11+M12</f>
        <v>220441.46</v>
      </c>
      <c r="N13" s="18" t="n">
        <f aca="false">N11+N12</f>
        <v>2533363.56</v>
      </c>
      <c r="O13" s="18" t="n">
        <f aca="false">O11+O12</f>
        <v>6919457.08</v>
      </c>
    </row>
    <row r="15" customFormat="false" ht="15" hidden="false" customHeight="true" outlineLevel="0" collapsed="false">
      <c r="A15" s="17" t="s">
        <v>77</v>
      </c>
      <c r="B15" s="18" t="n">
        <f aca="false">B8-B13</f>
        <v>329217.79</v>
      </c>
      <c r="C15" s="18" t="n">
        <f aca="false">C8-C13</f>
        <v>346252.12</v>
      </c>
      <c r="D15" s="18" t="n">
        <f aca="false">D8-D13</f>
        <v>339317.75</v>
      </c>
      <c r="E15" s="18" t="n">
        <f aca="false">E8-E13</f>
        <v>357061.78</v>
      </c>
      <c r="F15" s="18" t="n">
        <f aca="false">F8-F13</f>
        <v>359336.76</v>
      </c>
      <c r="G15" s="18" t="n">
        <f aca="false">G8-G13</f>
        <v>355871.87</v>
      </c>
      <c r="H15" s="18" t="n">
        <f aca="false">H8-H13</f>
        <v>356343.59</v>
      </c>
      <c r="I15" s="18" t="n">
        <f aca="false">I8-I13</f>
        <v>326404.61</v>
      </c>
      <c r="J15" s="18" t="n">
        <f aca="false">J8-J13</f>
        <v>326072.08</v>
      </c>
      <c r="K15" s="18" t="n">
        <f aca="false">K8-K13</f>
        <v>326171.18</v>
      </c>
      <c r="L15" s="18" t="n">
        <f aca="false">L8-L13</f>
        <v>351665.52</v>
      </c>
      <c r="M15" s="18" t="n">
        <f aca="false">M8-M13</f>
        <v>359667.63</v>
      </c>
      <c r="N15" s="18" t="n">
        <f aca="false">N8-N13</f>
        <v>4133382.68</v>
      </c>
      <c r="O15" s="18" t="n">
        <f aca="false">O8-O13</f>
        <v>11289640.5</v>
      </c>
    </row>
    <row r="16" customFormat="false" ht="15" hidden="false" customHeight="true" outlineLevel="0" collapsed="false">
      <c r="A16" s="1" t="s">
        <v>78</v>
      </c>
      <c r="B16" s="19" t="n">
        <f aca="false">IF(B8=0,0,B15/B8)</f>
        <v>0.620000006403056</v>
      </c>
      <c r="C16" s="19" t="n">
        <f aca="false">IF(C8=0,0,C15/C8)</f>
        <v>0.620000023635957</v>
      </c>
      <c r="D16" s="19" t="n">
        <f aca="false">IF(D8=0,0,D15/D8)</f>
        <v>0.620000004019831</v>
      </c>
      <c r="E16" s="19" t="n">
        <f aca="false">IF(E8=0,0,E15/E8)</f>
        <v>0.619999996527212</v>
      </c>
      <c r="F16" s="19" t="n">
        <f aca="false">IF(F8=0,0,F15/F8)</f>
        <v>0.620000010007326</v>
      </c>
      <c r="G16" s="19" t="n">
        <f aca="false">IF(G8=0,0,G15/G8)</f>
        <v>0.6199999860624</v>
      </c>
      <c r="H16" s="19" t="n">
        <f aca="false">IF(H8=0,0,H15/H8)</f>
        <v>0.619999995476276</v>
      </c>
      <c r="I16" s="19" t="n">
        <f aca="false">IF(I8=0,0,I15/I8)</f>
        <v>0.620000009877312</v>
      </c>
      <c r="J16" s="19" t="n">
        <f aca="false">IF(J8=0,0,J15/J8)</f>
        <v>0.620000011408521</v>
      </c>
      <c r="K16" s="19" t="n">
        <f aca="false">IF(K8=0,0,K15/K8)</f>
        <v>0.620000009884381</v>
      </c>
      <c r="L16" s="19" t="n">
        <f aca="false">IF(L8=0,0,L15/L8)</f>
        <v>0.619999979901357</v>
      </c>
      <c r="M16" s="19" t="n">
        <f aca="false">IF(M8=0,0,M15/M8)</f>
        <v>0.61999999000188</v>
      </c>
      <c r="N16" s="19" t="n">
        <f aca="false">IF(N8=0,0,N15/N8)</f>
        <v>0.62000000167998</v>
      </c>
      <c r="O16" s="19" t="n">
        <f aca="false">IF(O8=0,0,O15/O8)</f>
        <v>0.620000000021967</v>
      </c>
    </row>
    <row r="18" customFormat="false" ht="15" hidden="false" customHeight="true" outlineLevel="0" collapsed="false">
      <c r="A18" s="4" t="s">
        <v>79</v>
      </c>
    </row>
    <row r="19" customFormat="false" ht="15" hidden="false" customHeight="true" outlineLevel="0" collapsed="false">
      <c r="A19" s="1" t="s">
        <v>80</v>
      </c>
      <c r="B19" s="16" t="n">
        <f aca="false">SUMIFS(Data_GL!$G:$G,Data_GL!$A:$A,$C$2,Data_GL!$B:$B,"2025-01",Data_GL!$C:$C,"6000")</f>
        <v>84372.08</v>
      </c>
      <c r="C19" s="16" t="n">
        <f aca="false">SUMIFS(Data_GL!$G:$G,Data_GL!$A:$A,$C$2,Data_GL!$B:$B,"2025-02",Data_GL!$C:$C,"6000")</f>
        <v>87257.88</v>
      </c>
      <c r="D19" s="16" t="n">
        <f aca="false">SUMIFS(Data_GL!$G:$G,Data_GL!$A:$A,$C$2,Data_GL!$B:$B,"2025-03",Data_GL!$C:$C,"6000")</f>
        <v>85104.01</v>
      </c>
      <c r="E19" s="16" t="n">
        <f aca="false">SUMIFS(Data_GL!$G:$G,Data_GL!$A:$A,$C$2,Data_GL!$B:$B,"2025-04",Data_GL!$C:$C,"6000")</f>
        <v>92456.1</v>
      </c>
      <c r="F19" s="16" t="n">
        <f aca="false">SUMIFS(Data_GL!$G:$G,Data_GL!$A:$A,$C$2,Data_GL!$B:$B,"2025-05",Data_GL!$C:$C,"6000")</f>
        <v>91379.6</v>
      </c>
      <c r="G19" s="16" t="n">
        <f aca="false">SUMIFS(Data_GL!$G:$G,Data_GL!$A:$A,$C$2,Data_GL!$B:$B,"2025-06",Data_GL!$C:$C,"6000")</f>
        <v>92796.98</v>
      </c>
      <c r="H19" s="16" t="n">
        <f aca="false">SUMIFS(Data_GL!$G:$G,Data_GL!$A:$A,$C$2,Data_GL!$B:$B,"2025-07",Data_GL!$C:$C,"6000")</f>
        <v>90575.17</v>
      </c>
      <c r="I19" s="16" t="n">
        <f aca="false">SUMIFS(Data_GL!$G:$G,Data_GL!$A:$A,$C$2,Data_GL!$B:$B,"2025-08",Data_GL!$C:$C,"6000")</f>
        <v>85598.38</v>
      </c>
      <c r="J19" s="16" t="n">
        <f aca="false">SUMIFS(Data_GL!$G:$G,Data_GL!$A:$A,$C$2,Data_GL!$B:$B,"2025-09",Data_GL!$C:$C,"6000")</f>
        <v>82846.65</v>
      </c>
      <c r="K19" s="16" t="n">
        <f aca="false">SUMIFS(Data_GL!$G:$G,Data_GL!$A:$A,$C$2,Data_GL!$B:$B,"2025-10",Data_GL!$C:$C,"6000")</f>
        <v>87592.85</v>
      </c>
      <c r="L19" s="16" t="n">
        <f aca="false">SUMIFS(Data_GL!$G:$G,Data_GL!$A:$A,$C$2,Data_GL!$B:$B,"2025-11",Data_GL!$C:$C,"6000")</f>
        <v>97731.43</v>
      </c>
      <c r="M19" s="16" t="n">
        <f aca="false">SUMIFS(Data_GL!$G:$G,Data_GL!$A:$A,$C$2,Data_GL!$B:$B,"2025-12",Data_GL!$C:$C,"6000")</f>
        <v>93243.31</v>
      </c>
      <c r="N19" s="12" t="n">
        <f aca="false">SUM(B19:M19)</f>
        <v>1070954.44</v>
      </c>
      <c r="O19" s="16" t="n">
        <f aca="false">SUMIFS(Data_GL!$G:$G,Data_GL!$C:$C,"6000")</f>
        <v>2930240.63</v>
      </c>
    </row>
    <row r="20" customFormat="false" ht="15" hidden="false" customHeight="true" outlineLevel="0" collapsed="false">
      <c r="A20" s="1" t="s">
        <v>81</v>
      </c>
      <c r="B20" s="16" t="n">
        <f aca="false">SUMIFS(Data_GL!$G:$G,Data_GL!$A:$A,$C$2,Data_GL!$B:$B,"2025-01",Data_GL!$C:$C,"6010")</f>
        <v>27409.62</v>
      </c>
      <c r="C20" s="16" t="n">
        <f aca="false">SUMIFS(Data_GL!$G:$G,Data_GL!$A:$A,$C$2,Data_GL!$B:$B,"2025-02",Data_GL!$C:$C,"6010")</f>
        <v>28681.06</v>
      </c>
      <c r="D20" s="16" t="n">
        <f aca="false">SUMIFS(Data_GL!$G:$G,Data_GL!$A:$A,$C$2,Data_GL!$B:$B,"2025-03",Data_GL!$C:$C,"6010")</f>
        <v>25978.56</v>
      </c>
      <c r="E20" s="16" t="n">
        <f aca="false">SUMIFS(Data_GL!$G:$G,Data_GL!$A:$A,$C$2,Data_GL!$B:$B,"2025-04",Data_GL!$C:$C,"6010")</f>
        <v>26744</v>
      </c>
      <c r="F20" s="16" t="n">
        <f aca="false">SUMIFS(Data_GL!$G:$G,Data_GL!$A:$A,$C$2,Data_GL!$B:$B,"2025-05",Data_GL!$C:$C,"6010")</f>
        <v>28106.94</v>
      </c>
      <c r="G20" s="16" t="n">
        <f aca="false">SUMIFS(Data_GL!$G:$G,Data_GL!$A:$A,$C$2,Data_GL!$B:$B,"2025-06",Data_GL!$C:$C,"6010")</f>
        <v>25887.28</v>
      </c>
      <c r="H20" s="16" t="n">
        <f aca="false">SUMIFS(Data_GL!$G:$G,Data_GL!$A:$A,$C$2,Data_GL!$B:$B,"2025-07",Data_GL!$C:$C,"6010")</f>
        <v>26612.94</v>
      </c>
      <c r="I20" s="16" t="n">
        <f aca="false">SUMIFS(Data_GL!$G:$G,Data_GL!$A:$A,$C$2,Data_GL!$B:$B,"2025-08",Data_GL!$C:$C,"6010")</f>
        <v>25816.13</v>
      </c>
      <c r="J20" s="16" t="n">
        <f aca="false">SUMIFS(Data_GL!$G:$G,Data_GL!$A:$A,$C$2,Data_GL!$B:$B,"2025-09",Data_GL!$C:$C,"6010")</f>
        <v>26731.68</v>
      </c>
      <c r="K20" s="16" t="n">
        <f aca="false">SUMIFS(Data_GL!$G:$G,Data_GL!$A:$A,$C$2,Data_GL!$B:$B,"2025-10",Data_GL!$C:$C,"6010")</f>
        <v>28087.86</v>
      </c>
      <c r="L20" s="16" t="n">
        <f aca="false">SUMIFS(Data_GL!$G:$G,Data_GL!$A:$A,$C$2,Data_GL!$B:$B,"2025-11",Data_GL!$C:$C,"6010")</f>
        <v>28309.33</v>
      </c>
      <c r="M20" s="16" t="n">
        <f aca="false">SUMIFS(Data_GL!$G:$G,Data_GL!$A:$A,$C$2,Data_GL!$B:$B,"2025-12",Data_GL!$C:$C,"6010")</f>
        <v>26122.94</v>
      </c>
      <c r="N20" s="12" t="n">
        <f aca="false">SUM(B20:M20)</f>
        <v>324488.34</v>
      </c>
      <c r="O20" s="16" t="n">
        <f aca="false">SUMIFS(Data_GL!$G:$G,Data_GL!$C:$C,"6010")</f>
        <v>900185.16</v>
      </c>
    </row>
    <row r="21" customFormat="false" ht="15" hidden="false" customHeight="true" outlineLevel="0" collapsed="false">
      <c r="A21" s="1" t="s">
        <v>82</v>
      </c>
      <c r="B21" s="16" t="n">
        <f aca="false">SUMIFS(Data_GL!$G:$G,Data_GL!$A:$A,$C$2,Data_GL!$B:$B,"2025-01",Data_GL!$C:$C,"6020")</f>
        <v>14285.81</v>
      </c>
      <c r="C21" s="16" t="n">
        <f aca="false">SUMIFS(Data_GL!$G:$G,Data_GL!$A:$A,$C$2,Data_GL!$B:$B,"2025-02",Data_GL!$C:$C,"6020")</f>
        <v>13638.27</v>
      </c>
      <c r="D21" s="16" t="n">
        <f aca="false">SUMIFS(Data_GL!$G:$G,Data_GL!$A:$A,$C$2,Data_GL!$B:$B,"2025-03",Data_GL!$C:$C,"6020")</f>
        <v>13897.15</v>
      </c>
      <c r="E21" s="16" t="n">
        <f aca="false">SUMIFS(Data_GL!$G:$G,Data_GL!$A:$A,$C$2,Data_GL!$B:$B,"2025-04",Data_GL!$C:$C,"6020")</f>
        <v>14005.77</v>
      </c>
      <c r="F21" s="16" t="n">
        <f aca="false">SUMIFS(Data_GL!$G:$G,Data_GL!$A:$A,$C$2,Data_GL!$B:$B,"2025-05",Data_GL!$C:$C,"6020")</f>
        <v>15831.3</v>
      </c>
      <c r="G21" s="16" t="n">
        <f aca="false">SUMIFS(Data_GL!$G:$G,Data_GL!$A:$A,$C$2,Data_GL!$B:$B,"2025-06",Data_GL!$C:$C,"6020")</f>
        <v>13396.72</v>
      </c>
      <c r="H21" s="16" t="n">
        <f aca="false">SUMIFS(Data_GL!$G:$G,Data_GL!$A:$A,$C$2,Data_GL!$B:$B,"2025-07",Data_GL!$C:$C,"6020")</f>
        <v>13851.53</v>
      </c>
      <c r="I21" s="16" t="n">
        <f aca="false">SUMIFS(Data_GL!$G:$G,Data_GL!$A:$A,$C$2,Data_GL!$B:$B,"2025-08",Data_GL!$C:$C,"6020")</f>
        <v>12716.01</v>
      </c>
      <c r="J21" s="16" t="n">
        <f aca="false">SUMIFS(Data_GL!$G:$G,Data_GL!$A:$A,$C$2,Data_GL!$B:$B,"2025-09",Data_GL!$C:$C,"6020")</f>
        <v>13789.39</v>
      </c>
      <c r="K21" s="16" t="n">
        <f aca="false">SUMIFS(Data_GL!$G:$G,Data_GL!$A:$A,$C$2,Data_GL!$B:$B,"2025-10",Data_GL!$C:$C,"6020")</f>
        <v>13104.71</v>
      </c>
      <c r="L21" s="16" t="n">
        <f aca="false">SUMIFS(Data_GL!$G:$G,Data_GL!$A:$A,$C$2,Data_GL!$B:$B,"2025-11",Data_GL!$C:$C,"6020")</f>
        <v>15289.4</v>
      </c>
      <c r="M21" s="16" t="n">
        <f aca="false">SUMIFS(Data_GL!$G:$G,Data_GL!$A:$A,$C$2,Data_GL!$B:$B,"2025-12",Data_GL!$C:$C,"6020")</f>
        <v>14343.43</v>
      </c>
      <c r="N21" s="12" t="n">
        <f aca="false">SUM(B21:M21)</f>
        <v>168149.49</v>
      </c>
      <c r="O21" s="16" t="n">
        <f aca="false">SUMIFS(Data_GL!$G:$G,Data_GL!$C:$C,"6020")</f>
        <v>461641.7</v>
      </c>
    </row>
    <row r="22" customFormat="false" ht="15" hidden="false" customHeight="true" outlineLevel="0" collapsed="false">
      <c r="A22" s="1" t="s">
        <v>83</v>
      </c>
      <c r="B22" s="16" t="n">
        <f aca="false">SUMIFS(Data_GL!$G:$G,Data_GL!$A:$A,$C$2,Data_GL!$B:$B,"2025-01",Data_GL!$C:$C,"6030")</f>
        <v>10495.6</v>
      </c>
      <c r="C22" s="16" t="n">
        <f aca="false">SUMIFS(Data_GL!$G:$G,Data_GL!$A:$A,$C$2,Data_GL!$B:$B,"2025-02",Data_GL!$C:$C,"6030")</f>
        <v>10909.33</v>
      </c>
      <c r="D22" s="16" t="n">
        <f aca="false">SUMIFS(Data_GL!$G:$G,Data_GL!$A:$A,$C$2,Data_GL!$B:$B,"2025-03",Data_GL!$C:$C,"6030")</f>
        <v>10448.78</v>
      </c>
      <c r="E22" s="16" t="n">
        <f aca="false">SUMIFS(Data_GL!$G:$G,Data_GL!$A:$A,$C$2,Data_GL!$B:$B,"2025-04",Data_GL!$C:$C,"6030")</f>
        <v>11582</v>
      </c>
      <c r="F22" s="16" t="n">
        <f aca="false">SUMIFS(Data_GL!$G:$G,Data_GL!$A:$A,$C$2,Data_GL!$B:$B,"2025-05",Data_GL!$C:$C,"6030")</f>
        <v>11583.68</v>
      </c>
      <c r="G22" s="16" t="n">
        <f aca="false">SUMIFS(Data_GL!$G:$G,Data_GL!$A:$A,$C$2,Data_GL!$B:$B,"2025-06",Data_GL!$C:$C,"6030")</f>
        <v>11592.74</v>
      </c>
      <c r="H22" s="16" t="n">
        <f aca="false">SUMIFS(Data_GL!$G:$G,Data_GL!$A:$A,$C$2,Data_GL!$B:$B,"2025-07",Data_GL!$C:$C,"6030")</f>
        <v>11230.2</v>
      </c>
      <c r="I22" s="16" t="n">
        <f aca="false">SUMIFS(Data_GL!$G:$G,Data_GL!$A:$A,$C$2,Data_GL!$B:$B,"2025-08",Data_GL!$C:$C,"6030")</f>
        <v>10851.2</v>
      </c>
      <c r="J22" s="16" t="n">
        <f aca="false">SUMIFS(Data_GL!$G:$G,Data_GL!$A:$A,$C$2,Data_GL!$B:$B,"2025-09",Data_GL!$C:$C,"6030")</f>
        <v>10266.45</v>
      </c>
      <c r="K22" s="16" t="n">
        <f aca="false">SUMIFS(Data_GL!$G:$G,Data_GL!$A:$A,$C$2,Data_GL!$B:$B,"2025-10",Data_GL!$C:$C,"6030")</f>
        <v>11049.59</v>
      </c>
      <c r="L22" s="16" t="n">
        <f aca="false">SUMIFS(Data_GL!$G:$G,Data_GL!$A:$A,$C$2,Data_GL!$B:$B,"2025-11",Data_GL!$C:$C,"6030")</f>
        <v>9858.12</v>
      </c>
      <c r="M22" s="16" t="n">
        <f aca="false">SUMIFS(Data_GL!$G:$G,Data_GL!$A:$A,$C$2,Data_GL!$B:$B,"2025-12",Data_GL!$C:$C,"6030")</f>
        <v>11809.35</v>
      </c>
      <c r="N22" s="12" t="n">
        <f aca="false">SUM(B22:M22)</f>
        <v>131677.04</v>
      </c>
      <c r="O22" s="16" t="n">
        <f aca="false">SUMIFS(Data_GL!$G:$G,Data_GL!$C:$C,"6030")</f>
        <v>361654.69</v>
      </c>
    </row>
    <row r="23" customFormat="false" ht="15" hidden="false" customHeight="true" outlineLevel="0" collapsed="false">
      <c r="A23" s="1" t="s">
        <v>84</v>
      </c>
      <c r="B23" s="16" t="n">
        <f aca="false">SUMIFS(Data_GL!$G:$G,Data_GL!$A:$A,$C$2,Data_GL!$B:$B,"2025-01",Data_GL!$C:$C,"6040")</f>
        <v>7871.7</v>
      </c>
      <c r="C23" s="16" t="n">
        <f aca="false">SUMIFS(Data_GL!$G:$G,Data_GL!$A:$A,$C$2,Data_GL!$B:$B,"2025-02",Data_GL!$C:$C,"6040")</f>
        <v>8478.41</v>
      </c>
      <c r="D23" s="16" t="n">
        <f aca="false">SUMIFS(Data_GL!$G:$G,Data_GL!$A:$A,$C$2,Data_GL!$B:$B,"2025-03",Data_GL!$C:$C,"6040")</f>
        <v>7629.6</v>
      </c>
      <c r="E23" s="16" t="n">
        <f aca="false">SUMIFS(Data_GL!$G:$G,Data_GL!$A:$A,$C$2,Data_GL!$B:$B,"2025-04",Data_GL!$C:$C,"6040")</f>
        <v>8141.45</v>
      </c>
      <c r="F23" s="16" t="n">
        <f aca="false">SUMIFS(Data_GL!$G:$G,Data_GL!$A:$A,$C$2,Data_GL!$B:$B,"2025-05",Data_GL!$C:$C,"6040")</f>
        <v>8233.87</v>
      </c>
      <c r="G23" s="16" t="n">
        <f aca="false">SUMIFS(Data_GL!$G:$G,Data_GL!$A:$A,$C$2,Data_GL!$B:$B,"2025-06",Data_GL!$C:$C,"6040")</f>
        <v>8927.71</v>
      </c>
      <c r="H23" s="16" t="n">
        <f aca="false">SUMIFS(Data_GL!$G:$G,Data_GL!$A:$A,$C$2,Data_GL!$B:$B,"2025-07",Data_GL!$C:$C,"6040")</f>
        <v>9076.9</v>
      </c>
      <c r="I23" s="16" t="n">
        <f aca="false">SUMIFS(Data_GL!$G:$G,Data_GL!$A:$A,$C$2,Data_GL!$B:$B,"2025-08",Data_GL!$C:$C,"6040")</f>
        <v>8303.97</v>
      </c>
      <c r="J23" s="16" t="n">
        <f aca="false">SUMIFS(Data_GL!$G:$G,Data_GL!$A:$A,$C$2,Data_GL!$B:$B,"2025-09",Data_GL!$C:$C,"6040")</f>
        <v>7815.61</v>
      </c>
      <c r="K23" s="16" t="n">
        <f aca="false">SUMIFS(Data_GL!$G:$G,Data_GL!$A:$A,$C$2,Data_GL!$B:$B,"2025-10",Data_GL!$C:$C,"6040")</f>
        <v>8033.92</v>
      </c>
      <c r="L23" s="16" t="n">
        <f aca="false">SUMIFS(Data_GL!$G:$G,Data_GL!$A:$A,$C$2,Data_GL!$B:$B,"2025-11",Data_GL!$C:$C,"6040")</f>
        <v>8857.67</v>
      </c>
      <c r="M23" s="16" t="n">
        <f aca="false">SUMIFS(Data_GL!$G:$G,Data_GL!$A:$A,$C$2,Data_GL!$B:$B,"2025-12",Data_GL!$C:$C,"6040")</f>
        <v>9344.65</v>
      </c>
      <c r="N23" s="12" t="n">
        <f aca="false">SUM(B23:M23)</f>
        <v>100715.46</v>
      </c>
      <c r="O23" s="16" t="n">
        <f aca="false">SUMIFS(Data_GL!$G:$G,Data_GL!$C:$C,"6040")</f>
        <v>274752.88</v>
      </c>
    </row>
    <row r="24" customFormat="false" ht="15" hidden="false" customHeight="true" outlineLevel="0" collapsed="false">
      <c r="A24" s="17" t="s">
        <v>85</v>
      </c>
      <c r="B24" s="18" t="n">
        <f aca="false">B19+B20+B21+B22+B23</f>
        <v>144434.81</v>
      </c>
      <c r="C24" s="18" t="n">
        <f aca="false">C19+C20+C21+C22+C23</f>
        <v>148964.95</v>
      </c>
      <c r="D24" s="18" t="n">
        <f aca="false">D19+D20+D21+D22+D23</f>
        <v>143058.1</v>
      </c>
      <c r="E24" s="18" t="n">
        <f aca="false">E19+E20+E21+E22+E23</f>
        <v>152929.32</v>
      </c>
      <c r="F24" s="18" t="n">
        <f aca="false">F19+F20+F21+F22+F23</f>
        <v>155135.39</v>
      </c>
      <c r="G24" s="18" t="n">
        <f aca="false">G19+G20+G21+G22+G23</f>
        <v>152601.43</v>
      </c>
      <c r="H24" s="18" t="n">
        <f aca="false">H19+H20+H21+H22+H23</f>
        <v>151346.74</v>
      </c>
      <c r="I24" s="18" t="n">
        <f aca="false">I19+I20+I21+I22+I23</f>
        <v>143285.69</v>
      </c>
      <c r="J24" s="18" t="n">
        <f aca="false">J19+J20+J21+J22+J23</f>
        <v>141449.78</v>
      </c>
      <c r="K24" s="18" t="n">
        <f aca="false">K19+K20+K21+K22+K23</f>
        <v>147868.93</v>
      </c>
      <c r="L24" s="18" t="n">
        <f aca="false">L19+L20+L21+L22+L23</f>
        <v>160045.95</v>
      </c>
      <c r="M24" s="18" t="n">
        <f aca="false">M19+M20+M21+M22+M23</f>
        <v>154863.68</v>
      </c>
      <c r="N24" s="18" t="n">
        <f aca="false">N19+N20+N21+N22+N23</f>
        <v>1795984.77</v>
      </c>
      <c r="O24" s="18" t="n">
        <f aca="false">O19+O20+O21+O22+O23</f>
        <v>4928475.06</v>
      </c>
    </row>
    <row r="26" customFormat="false" ht="15" hidden="false" customHeight="true" outlineLevel="0" collapsed="false">
      <c r="A26" s="17" t="s">
        <v>86</v>
      </c>
      <c r="B26" s="18" t="n">
        <f aca="false">B15-B24</f>
        <v>184782.98</v>
      </c>
      <c r="C26" s="18" t="n">
        <f aca="false">C15-C24</f>
        <v>197287.17</v>
      </c>
      <c r="D26" s="18" t="n">
        <f aca="false">D15-D24</f>
        <v>196259.65</v>
      </c>
      <c r="E26" s="18" t="n">
        <f aca="false">E15-E24</f>
        <v>204132.46</v>
      </c>
      <c r="F26" s="18" t="n">
        <f aca="false">F15-F24</f>
        <v>204201.37</v>
      </c>
      <c r="G26" s="18" t="n">
        <f aca="false">G15-G24</f>
        <v>203270.44</v>
      </c>
      <c r="H26" s="18" t="n">
        <f aca="false">H15-H24</f>
        <v>204996.85</v>
      </c>
      <c r="I26" s="18" t="n">
        <f aca="false">I15-I24</f>
        <v>183118.92</v>
      </c>
      <c r="J26" s="18" t="n">
        <f aca="false">J15-J24</f>
        <v>184622.3</v>
      </c>
      <c r="K26" s="18" t="n">
        <f aca="false">K15-K24</f>
        <v>178302.25</v>
      </c>
      <c r="L26" s="18" t="n">
        <f aca="false">L15-L24</f>
        <v>191619.57</v>
      </c>
      <c r="M26" s="18" t="n">
        <f aca="false">M15-M24</f>
        <v>204803.95</v>
      </c>
      <c r="N26" s="18" t="n">
        <f aca="false">N15-N24</f>
        <v>2337397.91</v>
      </c>
      <c r="O26" s="18" t="n">
        <f aca="false">O15-O24</f>
        <v>6361165.44</v>
      </c>
    </row>
    <row r="27" customFormat="false" ht="15" hidden="false" customHeight="true" outlineLevel="0" collapsed="false">
      <c r="A27" s="1" t="s">
        <v>53</v>
      </c>
      <c r="B27" s="19" t="n">
        <f aca="false">IF(B8=0,0,B26/B8)</f>
        <v>0.347992885752546</v>
      </c>
      <c r="C27" s="19" t="n">
        <f aca="false">IF(C8=0,0,C26/C8)</f>
        <v>0.353262963597367</v>
      </c>
      <c r="D27" s="19" t="n">
        <f aca="false">IF(D8=0,0,D26/D8)</f>
        <v>0.358604829216658</v>
      </c>
      <c r="E27" s="19" t="n">
        <f aca="false">IF(E8=0,0,E26/E8)</f>
        <v>0.354454415398621</v>
      </c>
      <c r="F27" s="19" t="n">
        <f aca="false">IF(F8=0,0,F26/F8)</f>
        <v>0.352329250821735</v>
      </c>
      <c r="G27" s="19" t="n">
        <f aca="false">IF(G8=0,0,G26/G8)</f>
        <v>0.354137768649424</v>
      </c>
      <c r="H27" s="19" t="n">
        <f aca="false">IF(H8=0,0,H26/H8)</f>
        <v>0.356672744057641</v>
      </c>
      <c r="I27" s="19" t="n">
        <f aca="false">IF(I8=0,0,I26/I8)</f>
        <v>0.34783127667444</v>
      </c>
      <c r="J27" s="19" t="n">
        <f aca="false">IF(J8=0,0,J26/J8)</f>
        <v>0.351044554646529</v>
      </c>
      <c r="K27" s="19" t="n">
        <f aca="false">IF(K8=0,0,K26/K8)</f>
        <v>0.338924477516399</v>
      </c>
      <c r="L27" s="19" t="n">
        <f aca="false">IF(L8=0,0,L26/L8)</f>
        <v>0.337832749564719</v>
      </c>
      <c r="M27" s="19" t="n">
        <f aca="false">IF(M8=0,0,M26/M8)</f>
        <v>0.353043855940958</v>
      </c>
      <c r="N27" s="19" t="n">
        <f aca="false">IF(N8=0,0,N26/N8)</f>
        <v>0.350605501672732</v>
      </c>
      <c r="O27" s="19" t="n">
        <f aca="false">IF(O8=0,0,O26/O8)</f>
        <v>0.34933996108554</v>
      </c>
    </row>
    <row r="29" customFormat="false" ht="15" hidden="false" customHeight="true" outlineLevel="0" collapsed="false">
      <c r="A29" s="1" t="s">
        <v>87</v>
      </c>
      <c r="B29" s="16" t="n">
        <f aca="false">SUMIFS(Data_GL!$G:$G,Data_GL!$A:$A,$C$2,Data_GL!$B:$B,"2025-01",Data_GL!$C:$C,"7000")</f>
        <v>11458.48</v>
      </c>
      <c r="C29" s="16" t="n">
        <f aca="false">SUMIFS(Data_GL!$G:$G,Data_GL!$A:$A,$C$2,Data_GL!$B:$B,"2025-02",Data_GL!$C:$C,"7000")</f>
        <v>10100.92</v>
      </c>
      <c r="D29" s="16" t="n">
        <f aca="false">SUMIFS(Data_GL!$G:$G,Data_GL!$A:$A,$C$2,Data_GL!$B:$B,"2025-03",Data_GL!$C:$C,"7000")</f>
        <v>11747.87</v>
      </c>
      <c r="E29" s="16" t="n">
        <f aca="false">SUMIFS(Data_GL!$G:$G,Data_GL!$A:$A,$C$2,Data_GL!$B:$B,"2025-04",Data_GL!$C:$C,"7000")</f>
        <v>11734.49</v>
      </c>
      <c r="F29" s="16" t="n">
        <f aca="false">SUMIFS(Data_GL!$G:$G,Data_GL!$A:$A,$C$2,Data_GL!$B:$B,"2025-05",Data_GL!$C:$C,"7000")</f>
        <v>12068.23</v>
      </c>
      <c r="G29" s="16" t="n">
        <f aca="false">SUMIFS(Data_GL!$G:$G,Data_GL!$A:$A,$C$2,Data_GL!$B:$B,"2025-06",Data_GL!$C:$C,"7000")</f>
        <v>11578.1</v>
      </c>
      <c r="H29" s="16" t="n">
        <f aca="false">SUMIFS(Data_GL!$G:$G,Data_GL!$A:$A,$C$2,Data_GL!$B:$B,"2025-07",Data_GL!$C:$C,"7000")</f>
        <v>11692.45</v>
      </c>
      <c r="I29" s="16" t="n">
        <f aca="false">SUMIFS(Data_GL!$G:$G,Data_GL!$A:$A,$C$2,Data_GL!$B:$B,"2025-08",Data_GL!$C:$C,"7000")</f>
        <v>11019.47</v>
      </c>
      <c r="J29" s="16" t="n">
        <f aca="false">SUMIFS(Data_GL!$G:$G,Data_GL!$A:$A,$C$2,Data_GL!$B:$B,"2025-09",Data_GL!$C:$C,"7000")</f>
        <v>9936.61</v>
      </c>
      <c r="K29" s="16" t="n">
        <f aca="false">SUMIFS(Data_GL!$G:$G,Data_GL!$A:$A,$C$2,Data_GL!$B:$B,"2025-10",Data_GL!$C:$C,"7000")</f>
        <v>10182.27</v>
      </c>
      <c r="L29" s="16" t="n">
        <f aca="false">SUMIFS(Data_GL!$G:$G,Data_GL!$A:$A,$C$2,Data_GL!$B:$B,"2025-11",Data_GL!$C:$C,"7000")</f>
        <v>11393.43</v>
      </c>
      <c r="M29" s="16" t="n">
        <f aca="false">SUMIFS(Data_GL!$G:$G,Data_GL!$A:$A,$C$2,Data_GL!$B:$B,"2025-12",Data_GL!$C:$C,"7000")</f>
        <v>11301.53</v>
      </c>
      <c r="N29" s="12" t="n">
        <f aca="false">SUM(B29:M29)</f>
        <v>134213.85</v>
      </c>
      <c r="O29" s="16" t="n">
        <f aca="false">SUMIFS(Data_GL!$G:$G,Data_GL!$C:$C,"7000")</f>
        <v>366210.93</v>
      </c>
    </row>
    <row r="30" customFormat="false" ht="15" hidden="false" customHeight="true" outlineLevel="0" collapsed="false">
      <c r="A30" s="17" t="s">
        <v>88</v>
      </c>
      <c r="B30" s="18" t="n">
        <f aca="false">B26-B29</f>
        <v>173324.5</v>
      </c>
      <c r="C30" s="18" t="n">
        <f aca="false">C26-C29</f>
        <v>187186.25</v>
      </c>
      <c r="D30" s="18" t="n">
        <f aca="false">D26-D29</f>
        <v>184511.78</v>
      </c>
      <c r="E30" s="18" t="n">
        <f aca="false">E26-E29</f>
        <v>192397.97</v>
      </c>
      <c r="F30" s="18" t="n">
        <f aca="false">F26-F29</f>
        <v>192133.14</v>
      </c>
      <c r="G30" s="18" t="n">
        <f aca="false">G26-G29</f>
        <v>191692.34</v>
      </c>
      <c r="H30" s="18" t="n">
        <f aca="false">H26-H29</f>
        <v>193304.4</v>
      </c>
      <c r="I30" s="18" t="n">
        <f aca="false">I26-I29</f>
        <v>172099.45</v>
      </c>
      <c r="J30" s="18" t="n">
        <f aca="false">J26-J29</f>
        <v>174685.69</v>
      </c>
      <c r="K30" s="18" t="n">
        <f aca="false">K26-K29</f>
        <v>168119.98</v>
      </c>
      <c r="L30" s="18" t="n">
        <f aca="false">L26-L29</f>
        <v>180226.14</v>
      </c>
      <c r="M30" s="18" t="n">
        <f aca="false">M26-M29</f>
        <v>193502.42</v>
      </c>
      <c r="N30" s="18" t="n">
        <f aca="false">N26-N29</f>
        <v>2203184.06</v>
      </c>
      <c r="O30" s="18" t="n">
        <f aca="false">O26-O29</f>
        <v>5994954.51</v>
      </c>
    </row>
    <row r="31" customFormat="false" ht="15" hidden="false" customHeight="true" outlineLevel="0" collapsed="false">
      <c r="A31" s="1" t="s">
        <v>89</v>
      </c>
      <c r="B31" s="16" t="n">
        <f aca="false">SUMIFS(Data_GL!$G:$G,Data_GL!$A:$A,$C$2,Data_GL!$B:$B,"2025-01",Data_GL!$C:$C,"8000")</f>
        <v>5309.97</v>
      </c>
      <c r="C31" s="16" t="n">
        <f aca="false">SUMIFS(Data_GL!$G:$G,Data_GL!$A:$A,$C$2,Data_GL!$B:$B,"2025-02",Data_GL!$C:$C,"8000")</f>
        <v>5584.71</v>
      </c>
      <c r="D31" s="16" t="n">
        <f aca="false">SUMIFS(Data_GL!$G:$G,Data_GL!$A:$A,$C$2,Data_GL!$B:$B,"2025-03",Data_GL!$C:$C,"8000")</f>
        <v>5472.87</v>
      </c>
      <c r="E31" s="16" t="n">
        <f aca="false">SUMIFS(Data_GL!$G:$G,Data_GL!$A:$A,$C$2,Data_GL!$B:$B,"2025-04",Data_GL!$C:$C,"8000")</f>
        <v>5759.06</v>
      </c>
      <c r="F31" s="16" t="n">
        <f aca="false">SUMIFS(Data_GL!$G:$G,Data_GL!$A:$A,$C$2,Data_GL!$B:$B,"2025-05",Data_GL!$C:$C,"8000")</f>
        <v>5795.76</v>
      </c>
      <c r="G31" s="16" t="n">
        <f aca="false">SUMIFS(Data_GL!$G:$G,Data_GL!$A:$A,$C$2,Data_GL!$B:$B,"2025-06",Data_GL!$C:$C,"8000")</f>
        <v>5739.87</v>
      </c>
      <c r="H31" s="16" t="n">
        <f aca="false">SUMIFS(Data_GL!$G:$G,Data_GL!$A:$A,$C$2,Data_GL!$B:$B,"2025-07",Data_GL!$C:$C,"8000")</f>
        <v>5747.48</v>
      </c>
      <c r="I31" s="16" t="n">
        <f aca="false">SUMIFS(Data_GL!$G:$G,Data_GL!$A:$A,$C$2,Data_GL!$B:$B,"2025-08",Data_GL!$C:$C,"8000")</f>
        <v>5264.59</v>
      </c>
      <c r="J31" s="16" t="n">
        <f aca="false">SUMIFS(Data_GL!$G:$G,Data_GL!$A:$A,$C$2,Data_GL!$B:$B,"2025-09",Data_GL!$C:$C,"8000")</f>
        <v>5259.23</v>
      </c>
      <c r="K31" s="16" t="n">
        <f aca="false">SUMIFS(Data_GL!$G:$G,Data_GL!$A:$A,$C$2,Data_GL!$B:$B,"2025-10",Data_GL!$C:$C,"8000")</f>
        <v>5260.83</v>
      </c>
      <c r="L31" s="16" t="n">
        <f aca="false">SUMIFS(Data_GL!$G:$G,Data_GL!$A:$A,$C$2,Data_GL!$B:$B,"2025-11",Data_GL!$C:$C,"8000")</f>
        <v>5672.03</v>
      </c>
      <c r="M31" s="16" t="n">
        <f aca="false">SUMIFS(Data_GL!$G:$G,Data_GL!$A:$A,$C$2,Data_GL!$B:$B,"2025-12",Data_GL!$C:$C,"8000")</f>
        <v>5801.09</v>
      </c>
      <c r="N31" s="12" t="n">
        <f aca="false">SUM(B31:M31)</f>
        <v>66667.49</v>
      </c>
      <c r="O31" s="16" t="n">
        <f aca="false">SUMIFS(Data_GL!$G:$G,Data_GL!$C:$C,"8000")</f>
        <v>182090.99</v>
      </c>
    </row>
    <row r="32" customFormat="false" ht="15" hidden="false" customHeight="true" outlineLevel="0" collapsed="false">
      <c r="A32" s="17" t="s">
        <v>90</v>
      </c>
      <c r="B32" s="18" t="n">
        <f aca="false">B30-B31</f>
        <v>168014.53</v>
      </c>
      <c r="C32" s="18" t="n">
        <f aca="false">C30-C31</f>
        <v>181601.54</v>
      </c>
      <c r="D32" s="18" t="n">
        <f aca="false">D30-D31</f>
        <v>179038.91</v>
      </c>
      <c r="E32" s="18" t="n">
        <f aca="false">E30-E31</f>
        <v>186638.91</v>
      </c>
      <c r="F32" s="18" t="n">
        <f aca="false">F30-F31</f>
        <v>186337.38</v>
      </c>
      <c r="G32" s="18" t="n">
        <f aca="false">G30-G31</f>
        <v>185952.47</v>
      </c>
      <c r="H32" s="18" t="n">
        <f aca="false">H30-H31</f>
        <v>187556.92</v>
      </c>
      <c r="I32" s="18" t="n">
        <f aca="false">I30-I31</f>
        <v>166834.86</v>
      </c>
      <c r="J32" s="18" t="n">
        <f aca="false">J30-J31</f>
        <v>169426.46</v>
      </c>
      <c r="K32" s="18" t="n">
        <f aca="false">K30-K31</f>
        <v>162859.15</v>
      </c>
      <c r="L32" s="18" t="n">
        <f aca="false">L30-L31</f>
        <v>174554.11</v>
      </c>
      <c r="M32" s="18" t="n">
        <f aca="false">M30-M31</f>
        <v>187701.33</v>
      </c>
      <c r="N32" s="18" t="n">
        <f aca="false">N30-N31</f>
        <v>2136516.57</v>
      </c>
      <c r="O32" s="18" t="n">
        <f aca="false">O30-O31</f>
        <v>5812863.52</v>
      </c>
    </row>
    <row r="33" customFormat="false" ht="15" hidden="false" customHeight="true" outlineLevel="0" collapsed="false">
      <c r="A33" s="1" t="s">
        <v>91</v>
      </c>
      <c r="B33" s="19" t="n">
        <f aca="false">IF(B8=0,0,B32/B8)</f>
        <v>0.316413671557076</v>
      </c>
      <c r="C33" s="19" t="n">
        <f aca="false">IF(C8=0,0,C32/C8)</f>
        <v>0.325176230234565</v>
      </c>
      <c r="D33" s="19" t="n">
        <f aca="false">IF(D8=0,0,D32/D8)</f>
        <v>0.327139163570742</v>
      </c>
      <c r="E33" s="19" t="n">
        <f aca="false">IF(E8=0,0,E32/E8)</f>
        <v>0.324078716999177</v>
      </c>
      <c r="F33" s="19" t="n">
        <f aca="false">IF(F8=0,0,F32/F8)</f>
        <v>0.321506704364838</v>
      </c>
      <c r="G33" s="19" t="n">
        <f aca="false">IF(G8=0,0,G32/G8)</f>
        <v>0.323966400626913</v>
      </c>
      <c r="H33" s="19" t="n">
        <f aca="false">IF(H8=0,0,H32/H8)</f>
        <v>0.326329118342059</v>
      </c>
      <c r="I33" s="19" t="n">
        <f aca="false">IF(I8=0,0,I32/I8)</f>
        <v>0.316899981430654</v>
      </c>
      <c r="J33" s="19" t="n">
        <f aca="false">IF(J8=0,0,J32/J8)</f>
        <v>0.322150878826869</v>
      </c>
      <c r="K33" s="19" t="n">
        <f aca="false">IF(K8=0,0,K32/K8)</f>
        <v>0.309569578188244</v>
      </c>
      <c r="L33" s="19" t="n">
        <f aca="false">IF(L8=0,0,L32/L8)</f>
        <v>0.307745680303543</v>
      </c>
      <c r="M33" s="19" t="n">
        <f aca="false">IF(M8=0,0,M32/M8)</f>
        <v>0.323562125185799</v>
      </c>
      <c r="N33" s="19" t="n">
        <f aca="false">IF(N8=0,0,N32/N8)</f>
        <v>0.32047366032639</v>
      </c>
      <c r="O33" s="19" t="n">
        <f aca="false">IF(O8=0,0,O32/O8)</f>
        <v>0.319228533674539</v>
      </c>
    </row>
  </sheetData>
  <dataValidations count="1">
    <dataValidation allowBlank="false" errorStyle="stop" operator="between" showDropDown="false" showErrorMessage="false" showInputMessage="false" sqref="C2" type="list">
      <formula1>"DE01,DE02,US01"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1"/>
    <col collapsed="false" customWidth="true" hidden="false" outlineLevel="0" max="14" min="14" style="1" width="18"/>
  </cols>
  <sheetData>
    <row r="2" customFormat="false" ht="15" hidden="false" customHeight="true" outlineLevel="0" collapsed="false">
      <c r="B2" s="4" t="s">
        <v>64</v>
      </c>
      <c r="C2" s="14" t="s">
        <v>65</v>
      </c>
    </row>
    <row r="4" customFormat="false" ht="26.25" hidden="false" customHeight="true" outlineLevel="0" collapsed="false">
      <c r="A4" s="15" t="s">
        <v>92</v>
      </c>
      <c r="B4" s="15" t="s">
        <v>40</v>
      </c>
      <c r="C4" s="15" t="s">
        <v>41</v>
      </c>
      <c r="D4" s="15" t="s">
        <v>42</v>
      </c>
      <c r="E4" s="15" t="s">
        <v>43</v>
      </c>
      <c r="F4" s="15" t="s">
        <v>44</v>
      </c>
      <c r="G4" s="15" t="s">
        <v>45</v>
      </c>
      <c r="H4" s="15" t="s">
        <v>46</v>
      </c>
      <c r="I4" s="15" t="s">
        <v>47</v>
      </c>
      <c r="J4" s="15" t="s">
        <v>48</v>
      </c>
      <c r="K4" s="15" t="s">
        <v>49</v>
      </c>
      <c r="L4" s="15" t="s">
        <v>50</v>
      </c>
      <c r="M4" s="15" t="s">
        <v>51</v>
      </c>
      <c r="N4" s="15" t="s">
        <v>93</v>
      </c>
    </row>
    <row r="5" customFormat="false" ht="15" hidden="false" customHeight="true" outlineLevel="0" collapsed="false">
      <c r="A5" s="4" t="s">
        <v>94</v>
      </c>
    </row>
    <row r="6" customFormat="false" ht="15" hidden="false" customHeight="true" outlineLevel="0" collapsed="false">
      <c r="A6" s="1" t="s">
        <v>95</v>
      </c>
      <c r="B6" s="16" t="n">
        <f aca="false">SUMIFS(Data_BS!$F:$F,Data_BS!$A:$A,$C$2,Data_BS!$B:$B,"2025-01",Data_BS!$C:$C,"1000")</f>
        <v>431884.01</v>
      </c>
      <c r="C6" s="16" t="n">
        <f aca="false">SUMIFS(Data_BS!$F:$F,Data_BS!$A:$A,$C$2,Data_BS!$B:$B,"2025-02",Data_BS!$C:$C,"1000")</f>
        <v>614216.49</v>
      </c>
      <c r="D6" s="16" t="n">
        <f aca="false">SUMIFS(Data_BS!$F:$F,Data_BS!$A:$A,$C$2,Data_BS!$B:$B,"2025-03",Data_BS!$C:$C,"1000")</f>
        <v>789596.21</v>
      </c>
      <c r="E6" s="16" t="n">
        <f aca="false">SUMIFS(Data_BS!$F:$F,Data_BS!$A:$A,$C$2,Data_BS!$B:$B,"2025-04",Data_BS!$C:$C,"1000")</f>
        <v>963958.75</v>
      </c>
      <c r="F6" s="16" t="n">
        <f aca="false">SUMIFS(Data_BS!$F:$F,Data_BS!$A:$A,$C$2,Data_BS!$B:$B,"2025-05",Data_BS!$C:$C,"1000")</f>
        <v>1146214.63</v>
      </c>
      <c r="G6" s="16" t="n">
        <f aca="false">SUMIFS(Data_BS!$F:$F,Data_BS!$A:$A,$C$2,Data_BS!$B:$B,"2025-06",Data_BS!$C:$C,"1000")</f>
        <v>1332193.6</v>
      </c>
      <c r="H6" s="16" t="n">
        <f aca="false">SUMIFS(Data_BS!$F:$F,Data_BS!$A:$A,$C$2,Data_BS!$B:$B,"2025-07",Data_BS!$C:$C,"1000")</f>
        <v>1509702.76</v>
      </c>
      <c r="I6" s="16" t="n">
        <f aca="false">SUMIFS(Data_BS!$F:$F,Data_BS!$A:$A,$C$2,Data_BS!$B:$B,"2025-08",Data_BS!$C:$C,"1000")</f>
        <v>1671293.62</v>
      </c>
      <c r="J6" s="16" t="n">
        <f aca="false">SUMIFS(Data_BS!$F:$F,Data_BS!$A:$A,$C$2,Data_BS!$B:$B,"2025-09",Data_BS!$C:$C,"1000")</f>
        <v>1835587.29</v>
      </c>
      <c r="K6" s="16" t="n">
        <f aca="false">SUMIFS(Data_BS!$F:$F,Data_BS!$A:$A,$C$2,Data_BS!$B:$B,"2025-10",Data_BS!$C:$C,"1000")</f>
        <v>1997427.31</v>
      </c>
      <c r="L6" s="16" t="n">
        <f aca="false">SUMIFS(Data_BS!$F:$F,Data_BS!$A:$A,$C$2,Data_BS!$B:$B,"2025-11",Data_BS!$C:$C,"1000")</f>
        <v>2163028.17</v>
      </c>
      <c r="M6" s="16" t="n">
        <f aca="false">SUMIFS(Data_BS!$F:$F,Data_BS!$A:$A,$C$2,Data_BS!$B:$B,"2025-12",Data_BS!$C:$C,"1000")</f>
        <v>2353578.49</v>
      </c>
      <c r="N6" s="16" t="n">
        <f aca="false">SUMIFS(Data_BS!$F:$F,Data_BS!$B:$B,"2025-12",Data_BS!$C:$C,"1000")</f>
        <v>6515922.58</v>
      </c>
    </row>
    <row r="7" customFormat="false" ht="15" hidden="false" customHeight="true" outlineLevel="0" collapsed="false">
      <c r="A7" s="1" t="s">
        <v>96</v>
      </c>
      <c r="B7" s="16" t="n">
        <f aca="false">SUMIFS(Data_BS!$F:$F,Data_BS!$A:$A,$C$2,Data_BS!$B:$B,"2025-01",Data_BS!$C:$C,"1200")</f>
        <v>204566.47</v>
      </c>
      <c r="C7" s="16" t="n">
        <f aca="false">SUMIFS(Data_BS!$F:$F,Data_BS!$A:$A,$C$2,Data_BS!$B:$B,"2025-02",Data_BS!$C:$C,"1200")</f>
        <v>205113.77</v>
      </c>
      <c r="D7" s="16" t="n">
        <f aca="false">SUMIFS(Data_BS!$F:$F,Data_BS!$A:$A,$C$2,Data_BS!$B:$B,"2025-03",Data_BS!$C:$C,"1200")</f>
        <v>208445.22</v>
      </c>
      <c r="E7" s="16" t="n">
        <f aca="false">SUMIFS(Data_BS!$F:$F,Data_BS!$A:$A,$C$2,Data_BS!$B:$B,"2025-04",Data_BS!$C:$C,"1200")</f>
        <v>210266.65</v>
      </c>
      <c r="F7" s="16" t="n">
        <f aca="false">SUMIFS(Data_BS!$F:$F,Data_BS!$A:$A,$C$2,Data_BS!$B:$B,"2025-05",Data_BS!$C:$C,"1200")</f>
        <v>211508.94</v>
      </c>
      <c r="G7" s="16" t="n">
        <f aca="false">SUMIFS(Data_BS!$F:$F,Data_BS!$A:$A,$C$2,Data_BS!$B:$B,"2025-06",Data_BS!$C:$C,"1200")</f>
        <v>209218.52</v>
      </c>
      <c r="H7" s="16" t="n">
        <f aca="false">SUMIFS(Data_BS!$F:$F,Data_BS!$A:$A,$C$2,Data_BS!$B:$B,"2025-07",Data_BS!$C:$C,"1200")</f>
        <v>215542.34</v>
      </c>
      <c r="I7" s="16" t="n">
        <f aca="false">SUMIFS(Data_BS!$F:$F,Data_BS!$A:$A,$C$2,Data_BS!$B:$B,"2025-08",Data_BS!$C:$C,"1200")</f>
        <v>217573.04</v>
      </c>
      <c r="J7" s="16" t="n">
        <f aca="false">SUMIFS(Data_BS!$F:$F,Data_BS!$A:$A,$C$2,Data_BS!$B:$B,"2025-09",Data_BS!$C:$C,"1200")</f>
        <v>220170.22</v>
      </c>
      <c r="K7" s="16" t="n">
        <f aca="false">SUMIFS(Data_BS!$F:$F,Data_BS!$A:$A,$C$2,Data_BS!$B:$B,"2025-10",Data_BS!$C:$C,"1200")</f>
        <v>221014.28</v>
      </c>
      <c r="L7" s="16" t="n">
        <f aca="false">SUMIFS(Data_BS!$F:$F,Data_BS!$A:$A,$C$2,Data_BS!$B:$B,"2025-11",Data_BS!$C:$C,"1200")</f>
        <v>227772.33</v>
      </c>
      <c r="M7" s="16" t="n">
        <f aca="false">SUMIFS(Data_BS!$F:$F,Data_BS!$A:$A,$C$2,Data_BS!$B:$B,"2025-12",Data_BS!$C:$C,"1200")</f>
        <v>223916.06</v>
      </c>
      <c r="N7" s="16" t="n">
        <f aca="false">SUMIFS(Data_BS!$F:$F,Data_BS!$B:$B,"2025-12",Data_BS!$C:$C,"1200")</f>
        <v>683240.56</v>
      </c>
    </row>
    <row r="8" customFormat="false" ht="15" hidden="false" customHeight="true" outlineLevel="0" collapsed="false">
      <c r="A8" s="1" t="s">
        <v>97</v>
      </c>
      <c r="B8" s="16" t="n">
        <f aca="false">SUMIFS(Data_BS!$F:$F,Data_BS!$A:$A,$C$2,Data_BS!$B:$B,"2025-01",Data_BS!$C:$C,"1500")</f>
        <v>982145.85</v>
      </c>
      <c r="C8" s="16" t="n">
        <f aca="false">SUMIFS(Data_BS!$F:$F,Data_BS!$A:$A,$C$2,Data_BS!$B:$B,"2025-02",Data_BS!$C:$C,"1500")</f>
        <v>983155.94</v>
      </c>
      <c r="D8" s="16" t="n">
        <f aca="false">SUMIFS(Data_BS!$F:$F,Data_BS!$A:$A,$C$2,Data_BS!$B:$B,"2025-03",Data_BS!$C:$C,"1500")</f>
        <v>984330.73</v>
      </c>
      <c r="E8" s="16" t="n">
        <f aca="false">SUMIFS(Data_BS!$F:$F,Data_BS!$A:$A,$C$2,Data_BS!$B:$B,"2025-04",Data_BS!$C:$C,"1500")</f>
        <v>985504.18</v>
      </c>
      <c r="F8" s="16" t="n">
        <f aca="false">SUMIFS(Data_BS!$F:$F,Data_BS!$A:$A,$C$2,Data_BS!$B:$B,"2025-05",Data_BS!$C:$C,"1500")</f>
        <v>986711</v>
      </c>
      <c r="G8" s="16" t="n">
        <f aca="false">SUMIFS(Data_BS!$F:$F,Data_BS!$A:$A,$C$2,Data_BS!$B:$B,"2025-06",Data_BS!$C:$C,"1500")</f>
        <v>987868.81</v>
      </c>
      <c r="H8" s="16" t="n">
        <f aca="false">SUMIFS(Data_BS!$F:$F,Data_BS!$A:$A,$C$2,Data_BS!$B:$B,"2025-07",Data_BS!$C:$C,"1500")</f>
        <v>989038.05</v>
      </c>
      <c r="I8" s="16" t="n">
        <f aca="false">SUMIFS(Data_BS!$F:$F,Data_BS!$A:$A,$C$2,Data_BS!$B:$B,"2025-08",Data_BS!$C:$C,"1500")</f>
        <v>990140</v>
      </c>
      <c r="J8" s="16" t="n">
        <f aca="false">SUMIFS(Data_BS!$F:$F,Data_BS!$A:$A,$C$2,Data_BS!$B:$B,"2025-09",Data_BS!$C:$C,"1500")</f>
        <v>991133.66</v>
      </c>
      <c r="K8" s="16" t="n">
        <f aca="false">SUMIFS(Data_BS!$F:$F,Data_BS!$A:$A,$C$2,Data_BS!$B:$B,"2025-10",Data_BS!$C:$C,"1500")</f>
        <v>992151.89</v>
      </c>
      <c r="L8" s="16" t="n">
        <f aca="false">SUMIFS(Data_BS!$F:$F,Data_BS!$A:$A,$C$2,Data_BS!$B:$B,"2025-11",Data_BS!$C:$C,"1500")</f>
        <v>993291.23</v>
      </c>
      <c r="M8" s="16" t="n">
        <f aca="false">SUMIFS(Data_BS!$F:$F,Data_BS!$A:$A,$C$2,Data_BS!$B:$B,"2025-12",Data_BS!$C:$C,"1500")</f>
        <v>994421.39</v>
      </c>
      <c r="N8" s="16" t="n">
        <f aca="false">SUMIFS(Data_BS!$F:$F,Data_BS!$B:$B,"2025-12",Data_BS!$C:$C,"1500")</f>
        <v>3048621.1</v>
      </c>
    </row>
    <row r="9" customFormat="false" ht="15" hidden="false" customHeight="true" outlineLevel="0" collapsed="false">
      <c r="A9" s="17" t="s">
        <v>98</v>
      </c>
      <c r="B9" s="18" t="n">
        <f aca="false">B6+B7+B8</f>
        <v>1618596.33</v>
      </c>
      <c r="C9" s="18" t="n">
        <f aca="false">C6+C7+C8</f>
        <v>1802486.2</v>
      </c>
      <c r="D9" s="18" t="n">
        <f aca="false">D6+D7+D8</f>
        <v>1982372.16</v>
      </c>
      <c r="E9" s="18" t="n">
        <f aca="false">E6+E7+E8</f>
        <v>2159729.58</v>
      </c>
      <c r="F9" s="18" t="n">
        <f aca="false">F6+F7+F8</f>
        <v>2344434.57</v>
      </c>
      <c r="G9" s="18" t="n">
        <f aca="false">G6+G7+G8</f>
        <v>2529280.93</v>
      </c>
      <c r="H9" s="18" t="n">
        <f aca="false">H6+H7+H8</f>
        <v>2714283.15</v>
      </c>
      <c r="I9" s="18" t="n">
        <f aca="false">I6+I7+I8</f>
        <v>2879006.66</v>
      </c>
      <c r="J9" s="18" t="n">
        <f aca="false">J6+J7+J8</f>
        <v>3046891.17</v>
      </c>
      <c r="K9" s="18" t="n">
        <f aca="false">K6+K7+K8</f>
        <v>3210593.48</v>
      </c>
      <c r="L9" s="18" t="n">
        <f aca="false">L6+L7+L8</f>
        <v>3384091.73</v>
      </c>
      <c r="M9" s="18" t="n">
        <f aca="false">M6+M7+M8</f>
        <v>3571915.94</v>
      </c>
      <c r="N9" s="18" t="n">
        <f aca="false">N6+N7+N8</f>
        <v>10247784.24</v>
      </c>
    </row>
    <row r="11" customFormat="false" ht="15" hidden="false" customHeight="true" outlineLevel="0" collapsed="false">
      <c r="A11" s="4" t="s">
        <v>99</v>
      </c>
    </row>
    <row r="12" customFormat="false" ht="15" hidden="false" customHeight="true" outlineLevel="0" collapsed="false">
      <c r="A12" s="1" t="s">
        <v>100</v>
      </c>
      <c r="B12" s="16" t="n">
        <f aca="false">SUMIFS(Data_BS!$F:$F,Data_BS!$A:$A,$C$2,Data_BS!$B:$B,"2025-01",Data_BS!$C:$C,"2000")</f>
        <v>156681.16</v>
      </c>
      <c r="C12" s="16" t="n">
        <f aca="false">SUMIFS(Data_BS!$F:$F,Data_BS!$A:$A,$C$2,Data_BS!$B:$B,"2025-02",Data_BS!$C:$C,"2000")</f>
        <v>161348.44</v>
      </c>
      <c r="D12" s="16" t="n">
        <f aca="false">SUMIFS(Data_BS!$F:$F,Data_BS!$A:$A,$C$2,Data_BS!$B:$B,"2025-03",Data_BS!$C:$C,"2000")</f>
        <v>164785.03</v>
      </c>
      <c r="E12" s="16" t="n">
        <f aca="false">SUMIFS(Data_BS!$F:$F,Data_BS!$A:$A,$C$2,Data_BS!$B:$B,"2025-04",Data_BS!$C:$C,"2000")</f>
        <v>158181.86</v>
      </c>
      <c r="F12" s="16" t="n">
        <f aca="false">SUMIFS(Data_BS!$F:$F,Data_BS!$A:$A,$C$2,Data_BS!$B:$B,"2025-05",Data_BS!$C:$C,"2000")</f>
        <v>156562.4</v>
      </c>
      <c r="G12" s="16" t="n">
        <f aca="false">SUMIFS(Data_BS!$F:$F,Data_BS!$A:$A,$C$2,Data_BS!$B:$B,"2025-06",Data_BS!$C:$C,"2000")</f>
        <v>156962.29</v>
      </c>
      <c r="H12" s="16" t="n">
        <f aca="false">SUMIFS(Data_BS!$F:$F,Data_BS!$A:$A,$C$2,Data_BS!$B:$B,"2025-07",Data_BS!$C:$C,"2000")</f>
        <v>154872.63</v>
      </c>
      <c r="I12" s="16" t="n">
        <f aca="false">SUMIFS(Data_BS!$F:$F,Data_BS!$A:$A,$C$2,Data_BS!$B:$B,"2025-08",Data_BS!$C:$C,"2000")</f>
        <v>153918.86</v>
      </c>
      <c r="J12" s="16" t="n">
        <f aca="false">SUMIFS(Data_BS!$F:$F,Data_BS!$A:$A,$C$2,Data_BS!$B:$B,"2025-09",Data_BS!$C:$C,"2000")</f>
        <v>153918.32</v>
      </c>
      <c r="K12" s="16" t="n">
        <f aca="false">SUMIFS(Data_BS!$F:$F,Data_BS!$A:$A,$C$2,Data_BS!$B:$B,"2025-10",Data_BS!$C:$C,"2000")</f>
        <v>155702.11</v>
      </c>
      <c r="L12" s="16" t="n">
        <f aca="false">SUMIFS(Data_BS!$F:$F,Data_BS!$A:$A,$C$2,Data_BS!$B:$B,"2025-11",Data_BS!$C:$C,"2000")</f>
        <v>154107.57</v>
      </c>
      <c r="M12" s="16" t="n">
        <f aca="false">SUMIFS(Data_BS!$F:$F,Data_BS!$A:$A,$C$2,Data_BS!$B:$B,"2025-12",Data_BS!$C:$C,"2000")</f>
        <v>155228.11</v>
      </c>
      <c r="N12" s="16" t="n">
        <f aca="false">SUMIFS(Data_BS!$F:$F,Data_BS!$B:$B,"2025-12",Data_BS!$C:$C,"2000")</f>
        <v>489873.65</v>
      </c>
    </row>
    <row r="13" customFormat="false" ht="15" hidden="false" customHeight="true" outlineLevel="0" collapsed="false">
      <c r="A13" s="1" t="s">
        <v>101</v>
      </c>
      <c r="B13" s="16" t="n">
        <f aca="false">SUMIFS(Data_BS!$F:$F,Data_BS!$A:$A,$C$2,Data_BS!$B:$B,"2025-01",Data_BS!$C:$C,"2100")</f>
        <v>64380.63</v>
      </c>
      <c r="C13" s="16" t="n">
        <f aca="false">SUMIFS(Data_BS!$F:$F,Data_BS!$A:$A,$C$2,Data_BS!$B:$B,"2025-02",Data_BS!$C:$C,"2100")</f>
        <v>64172.96</v>
      </c>
      <c r="D13" s="16" t="n">
        <f aca="false">SUMIFS(Data_BS!$F:$F,Data_BS!$A:$A,$C$2,Data_BS!$B:$B,"2025-03",Data_BS!$C:$C,"2100")</f>
        <v>63746.03</v>
      </c>
      <c r="E13" s="16" t="n">
        <f aca="false">SUMIFS(Data_BS!$F:$F,Data_BS!$A:$A,$C$2,Data_BS!$B:$B,"2025-04",Data_BS!$C:$C,"2100")</f>
        <v>63221.64</v>
      </c>
      <c r="F13" s="16" t="n">
        <f aca="false">SUMIFS(Data_BS!$F:$F,Data_BS!$A:$A,$C$2,Data_BS!$B:$B,"2025-05",Data_BS!$C:$C,"2100")</f>
        <v>65354.05</v>
      </c>
      <c r="G13" s="16" t="n">
        <f aca="false">SUMIFS(Data_BS!$F:$F,Data_BS!$A:$A,$C$2,Data_BS!$B:$B,"2025-06",Data_BS!$C:$C,"2100")</f>
        <v>65984.79</v>
      </c>
      <c r="H13" s="16" t="n">
        <f aca="false">SUMIFS(Data_BS!$F:$F,Data_BS!$A:$A,$C$2,Data_BS!$B:$B,"2025-07",Data_BS!$C:$C,"2100")</f>
        <v>67647.96</v>
      </c>
      <c r="I13" s="16" t="n">
        <f aca="false">SUMIFS(Data_BS!$F:$F,Data_BS!$A:$A,$C$2,Data_BS!$B:$B,"2025-08",Data_BS!$C:$C,"2100")</f>
        <v>68610.06</v>
      </c>
      <c r="J13" s="16" t="n">
        <f aca="false">SUMIFS(Data_BS!$F:$F,Data_BS!$A:$A,$C$2,Data_BS!$B:$B,"2025-09",Data_BS!$C:$C,"2100")</f>
        <v>69179.86</v>
      </c>
      <c r="K13" s="16" t="n">
        <f aca="false">SUMIFS(Data_BS!$F:$F,Data_BS!$A:$A,$C$2,Data_BS!$B:$B,"2025-10",Data_BS!$C:$C,"2100")</f>
        <v>70341.99</v>
      </c>
      <c r="L13" s="16" t="n">
        <f aca="false">SUMIFS(Data_BS!$F:$F,Data_BS!$A:$A,$C$2,Data_BS!$B:$B,"2025-11",Data_BS!$C:$C,"2100")</f>
        <v>72975.03</v>
      </c>
      <c r="M13" s="16" t="n">
        <f aca="false">SUMIFS(Data_BS!$F:$F,Data_BS!$A:$A,$C$2,Data_BS!$B:$B,"2025-12",Data_BS!$C:$C,"2100")</f>
        <v>74063.34</v>
      </c>
      <c r="N13" s="16" t="n">
        <f aca="false">SUMIFS(Data_BS!$F:$F,Data_BS!$B:$B,"2025-12",Data_BS!$C:$C,"2100")</f>
        <v>227127.69</v>
      </c>
    </row>
    <row r="14" customFormat="false" ht="15" hidden="false" customHeight="true" outlineLevel="0" collapsed="false">
      <c r="A14" s="1" t="s">
        <v>102</v>
      </c>
      <c r="B14" s="16" t="n">
        <f aca="false">SUMIFS(Data_BS!$F:$F,Data_BS!$A:$A,$C$2,Data_BS!$B:$B,"2025-01",Data_BS!$C:$C,"2500")</f>
        <v>542820</v>
      </c>
      <c r="C14" s="16" t="n">
        <f aca="false">SUMIFS(Data_BS!$F:$F,Data_BS!$A:$A,$C$2,Data_BS!$B:$B,"2025-02",Data_BS!$C:$C,"2500")</f>
        <v>540648.72</v>
      </c>
      <c r="D14" s="16" t="n">
        <f aca="false">SUMIFS(Data_BS!$F:$F,Data_BS!$A:$A,$C$2,Data_BS!$B:$B,"2025-03",Data_BS!$C:$C,"2500")</f>
        <v>538486.13</v>
      </c>
      <c r="E14" s="16" t="n">
        <f aca="false">SUMIFS(Data_BS!$F:$F,Data_BS!$A:$A,$C$2,Data_BS!$B:$B,"2025-04",Data_BS!$C:$C,"2500")</f>
        <v>536332.18</v>
      </c>
      <c r="F14" s="16" t="n">
        <f aca="false">SUMIFS(Data_BS!$F:$F,Data_BS!$A:$A,$C$2,Data_BS!$B:$B,"2025-05",Data_BS!$C:$C,"2500")</f>
        <v>534186.85</v>
      </c>
      <c r="G14" s="16" t="n">
        <f aca="false">SUMIFS(Data_BS!$F:$F,Data_BS!$A:$A,$C$2,Data_BS!$B:$B,"2025-06",Data_BS!$C:$C,"2500")</f>
        <v>532050.1</v>
      </c>
      <c r="H14" s="16" t="n">
        <f aca="false">SUMIFS(Data_BS!$F:$F,Data_BS!$A:$A,$C$2,Data_BS!$B:$B,"2025-07",Data_BS!$C:$C,"2500")</f>
        <v>529921.9</v>
      </c>
      <c r="I14" s="16" t="n">
        <f aca="false">SUMIFS(Data_BS!$F:$F,Data_BS!$A:$A,$C$2,Data_BS!$B:$B,"2025-08",Data_BS!$C:$C,"2500")</f>
        <v>527802.22</v>
      </c>
      <c r="J14" s="16" t="n">
        <f aca="false">SUMIFS(Data_BS!$F:$F,Data_BS!$A:$A,$C$2,Data_BS!$B:$B,"2025-09",Data_BS!$C:$C,"2500")</f>
        <v>525691.01</v>
      </c>
      <c r="K14" s="16" t="n">
        <f aca="false">SUMIFS(Data_BS!$F:$F,Data_BS!$A:$A,$C$2,Data_BS!$B:$B,"2025-10",Data_BS!$C:$C,"2500")</f>
        <v>523588.24</v>
      </c>
      <c r="L14" s="16" t="n">
        <f aca="false">SUMIFS(Data_BS!$F:$F,Data_BS!$A:$A,$C$2,Data_BS!$B:$B,"2025-11",Data_BS!$C:$C,"2500")</f>
        <v>521493.89</v>
      </c>
      <c r="M14" s="16" t="n">
        <f aca="false">SUMIFS(Data_BS!$F:$F,Data_BS!$A:$A,$C$2,Data_BS!$B:$B,"2025-12",Data_BS!$C:$C,"2500")</f>
        <v>519407.92</v>
      </c>
      <c r="N14" s="16" t="n">
        <f aca="false">SUMIFS(Data_BS!$F:$F,Data_BS!$B:$B,"2025-12",Data_BS!$C:$C,"2500")</f>
        <v>1572519.39</v>
      </c>
    </row>
    <row r="15" customFormat="false" ht="15" hidden="false" customHeight="true" outlineLevel="0" collapsed="false">
      <c r="A15" s="17" t="s">
        <v>103</v>
      </c>
      <c r="B15" s="18" t="n">
        <f aca="false">B12+B13+B14</f>
        <v>763881.79</v>
      </c>
      <c r="C15" s="18" t="n">
        <f aca="false">C12+C13+C14</f>
        <v>766170.12</v>
      </c>
      <c r="D15" s="18" t="n">
        <f aca="false">D12+D13+D14</f>
        <v>767017.19</v>
      </c>
      <c r="E15" s="18" t="n">
        <f aca="false">E12+E13+E14</f>
        <v>757735.68</v>
      </c>
      <c r="F15" s="18" t="n">
        <f aca="false">F12+F13+F14</f>
        <v>756103.3</v>
      </c>
      <c r="G15" s="18" t="n">
        <f aca="false">G12+G13+G14</f>
        <v>754997.18</v>
      </c>
      <c r="H15" s="18" t="n">
        <f aca="false">H12+H13+H14</f>
        <v>752442.49</v>
      </c>
      <c r="I15" s="18" t="n">
        <f aca="false">I12+I13+I14</f>
        <v>750331.14</v>
      </c>
      <c r="J15" s="18" t="n">
        <f aca="false">J12+J13+J14</f>
        <v>748789.19</v>
      </c>
      <c r="K15" s="18" t="n">
        <f aca="false">K12+K13+K14</f>
        <v>749632.34</v>
      </c>
      <c r="L15" s="18" t="n">
        <f aca="false">L12+L13+L14</f>
        <v>748576.49</v>
      </c>
      <c r="M15" s="18" t="n">
        <f aca="false">M12+M13+M14</f>
        <v>748699.37</v>
      </c>
      <c r="N15" s="18" t="n">
        <f aca="false">N12+N13+N14</f>
        <v>2289520.73</v>
      </c>
    </row>
    <row r="17" customFormat="false" ht="15" hidden="false" customHeight="true" outlineLevel="0" collapsed="false">
      <c r="A17" s="4" t="s">
        <v>104</v>
      </c>
    </row>
    <row r="18" customFormat="false" ht="15" hidden="false" customHeight="true" outlineLevel="0" collapsed="false">
      <c r="A18" s="1" t="s">
        <v>105</v>
      </c>
      <c r="B18" s="16" t="n">
        <f aca="false">SUMIFS(Data_BS!$F:$F,Data_BS!$A:$A,$C$2,Data_BS!$B:$B,"2025-01",Data_BS!$C:$C,"3000")</f>
        <v>436000</v>
      </c>
      <c r="C18" s="16" t="n">
        <f aca="false">SUMIFS(Data_BS!$F:$F,Data_BS!$A:$A,$C$2,Data_BS!$B:$B,"2025-02",Data_BS!$C:$C,"3000")</f>
        <v>436000</v>
      </c>
      <c r="D18" s="16" t="n">
        <f aca="false">SUMIFS(Data_BS!$F:$F,Data_BS!$A:$A,$C$2,Data_BS!$B:$B,"2025-03",Data_BS!$C:$C,"3000")</f>
        <v>436000</v>
      </c>
      <c r="E18" s="16" t="n">
        <f aca="false">SUMIFS(Data_BS!$F:$F,Data_BS!$A:$A,$C$2,Data_BS!$B:$B,"2025-04",Data_BS!$C:$C,"3000")</f>
        <v>436000</v>
      </c>
      <c r="F18" s="16" t="n">
        <f aca="false">SUMIFS(Data_BS!$F:$F,Data_BS!$A:$A,$C$2,Data_BS!$B:$B,"2025-05",Data_BS!$C:$C,"3000")</f>
        <v>436000</v>
      </c>
      <c r="G18" s="16" t="n">
        <f aca="false">SUMIFS(Data_BS!$F:$F,Data_BS!$A:$A,$C$2,Data_BS!$B:$B,"2025-06",Data_BS!$C:$C,"3000")</f>
        <v>436000</v>
      </c>
      <c r="H18" s="16" t="n">
        <f aca="false">SUMIFS(Data_BS!$F:$F,Data_BS!$A:$A,$C$2,Data_BS!$B:$B,"2025-07",Data_BS!$C:$C,"3000")</f>
        <v>436000</v>
      </c>
      <c r="I18" s="16" t="n">
        <f aca="false">SUMIFS(Data_BS!$F:$F,Data_BS!$A:$A,$C$2,Data_BS!$B:$B,"2025-08",Data_BS!$C:$C,"3000")</f>
        <v>436000</v>
      </c>
      <c r="J18" s="16" t="n">
        <f aca="false">SUMIFS(Data_BS!$F:$F,Data_BS!$A:$A,$C$2,Data_BS!$B:$B,"2025-09",Data_BS!$C:$C,"3000")</f>
        <v>436000</v>
      </c>
      <c r="K18" s="16" t="n">
        <f aca="false">SUMIFS(Data_BS!$F:$F,Data_BS!$A:$A,$C$2,Data_BS!$B:$B,"2025-10",Data_BS!$C:$C,"3000")</f>
        <v>436000</v>
      </c>
      <c r="L18" s="16" t="n">
        <f aca="false">SUMIFS(Data_BS!$F:$F,Data_BS!$A:$A,$C$2,Data_BS!$B:$B,"2025-11",Data_BS!$C:$C,"3000")</f>
        <v>436000</v>
      </c>
      <c r="M18" s="16" t="n">
        <f aca="false">SUMIFS(Data_BS!$F:$F,Data_BS!$A:$A,$C$2,Data_BS!$B:$B,"2025-12",Data_BS!$C:$C,"3000")</f>
        <v>436000</v>
      </c>
      <c r="N18" s="16" t="n">
        <f aca="false">SUMIFS(Data_BS!$F:$F,Data_BS!$B:$B,"2025-12",Data_BS!$C:$C,"3000")</f>
        <v>1322000</v>
      </c>
    </row>
    <row r="19" customFormat="false" ht="15" hidden="false" customHeight="true" outlineLevel="0" collapsed="false">
      <c r="A19" s="1" t="s">
        <v>106</v>
      </c>
      <c r="B19" s="16" t="n">
        <f aca="false">SUMIFS(Data_BS!$F:$F,Data_BS!$A:$A,$C$2,Data_BS!$B:$B,"2025-01",Data_BS!$C:$C,"3900")</f>
        <v>418714.53</v>
      </c>
      <c r="C19" s="16" t="n">
        <f aca="false">SUMIFS(Data_BS!$F:$F,Data_BS!$A:$A,$C$2,Data_BS!$B:$B,"2025-02",Data_BS!$C:$C,"3900")</f>
        <v>600316.07</v>
      </c>
      <c r="D19" s="16" t="n">
        <f aca="false">SUMIFS(Data_BS!$F:$F,Data_BS!$A:$A,$C$2,Data_BS!$B:$B,"2025-03",Data_BS!$C:$C,"3900")</f>
        <v>779354.98</v>
      </c>
      <c r="E19" s="16" t="n">
        <f aca="false">SUMIFS(Data_BS!$F:$F,Data_BS!$A:$A,$C$2,Data_BS!$B:$B,"2025-04",Data_BS!$C:$C,"3900")</f>
        <v>965993.89</v>
      </c>
      <c r="F19" s="16" t="n">
        <f aca="false">SUMIFS(Data_BS!$F:$F,Data_BS!$A:$A,$C$2,Data_BS!$B:$B,"2025-05",Data_BS!$C:$C,"3900")</f>
        <v>1152331.27</v>
      </c>
      <c r="G19" s="16" t="n">
        <f aca="false">SUMIFS(Data_BS!$F:$F,Data_BS!$A:$A,$C$2,Data_BS!$B:$B,"2025-06",Data_BS!$C:$C,"3900")</f>
        <v>1338283.74</v>
      </c>
      <c r="H19" s="16" t="n">
        <f aca="false">SUMIFS(Data_BS!$F:$F,Data_BS!$A:$A,$C$2,Data_BS!$B:$B,"2025-07",Data_BS!$C:$C,"3900")</f>
        <v>1525840.66</v>
      </c>
      <c r="I19" s="16" t="n">
        <f aca="false">SUMIFS(Data_BS!$F:$F,Data_BS!$A:$A,$C$2,Data_BS!$B:$B,"2025-08",Data_BS!$C:$C,"3900")</f>
        <v>1692675.52</v>
      </c>
      <c r="J19" s="16" t="n">
        <f aca="false">SUMIFS(Data_BS!$F:$F,Data_BS!$A:$A,$C$2,Data_BS!$B:$B,"2025-09",Data_BS!$C:$C,"3900")</f>
        <v>1862101.98</v>
      </c>
      <c r="K19" s="16" t="n">
        <f aca="false">SUMIFS(Data_BS!$F:$F,Data_BS!$A:$A,$C$2,Data_BS!$B:$B,"2025-10",Data_BS!$C:$C,"3900")</f>
        <v>2024961.13</v>
      </c>
      <c r="L19" s="16" t="n">
        <f aca="false">SUMIFS(Data_BS!$F:$F,Data_BS!$A:$A,$C$2,Data_BS!$B:$B,"2025-11",Data_BS!$C:$C,"3900")</f>
        <v>2199515.24</v>
      </c>
      <c r="M19" s="16" t="n">
        <f aca="false">SUMIFS(Data_BS!$F:$F,Data_BS!$A:$A,$C$2,Data_BS!$B:$B,"2025-12",Data_BS!$C:$C,"3900")</f>
        <v>2387216.57</v>
      </c>
      <c r="N19" s="16" t="n">
        <f aca="false">SUMIFS(Data_BS!$F:$F,Data_BS!$B:$B,"2025-12",Data_BS!$C:$C,"3900")</f>
        <v>6636263.52</v>
      </c>
    </row>
    <row r="20" customFormat="false" ht="15" hidden="false" customHeight="true" outlineLevel="0" collapsed="false">
      <c r="A20" s="17" t="s">
        <v>107</v>
      </c>
      <c r="B20" s="18" t="n">
        <f aca="false">B18+B19</f>
        <v>854714.53</v>
      </c>
      <c r="C20" s="18" t="n">
        <f aca="false">C18+C19</f>
        <v>1036316.07</v>
      </c>
      <c r="D20" s="18" t="n">
        <f aca="false">D18+D19</f>
        <v>1215354.98</v>
      </c>
      <c r="E20" s="18" t="n">
        <f aca="false">E18+E19</f>
        <v>1401993.89</v>
      </c>
      <c r="F20" s="18" t="n">
        <f aca="false">F18+F19</f>
        <v>1588331.27</v>
      </c>
      <c r="G20" s="18" t="n">
        <f aca="false">G18+G19</f>
        <v>1774283.74</v>
      </c>
      <c r="H20" s="18" t="n">
        <f aca="false">H18+H19</f>
        <v>1961840.66</v>
      </c>
      <c r="I20" s="18" t="n">
        <f aca="false">I18+I19</f>
        <v>2128675.52</v>
      </c>
      <c r="J20" s="18" t="n">
        <f aca="false">J18+J19</f>
        <v>2298101.98</v>
      </c>
      <c r="K20" s="18" t="n">
        <f aca="false">K18+K19</f>
        <v>2460961.13</v>
      </c>
      <c r="L20" s="18" t="n">
        <f aca="false">L18+L19</f>
        <v>2635515.24</v>
      </c>
      <c r="M20" s="18" t="n">
        <f aca="false">M18+M19</f>
        <v>2823216.57</v>
      </c>
      <c r="N20" s="18" t="n">
        <f aca="false">N18+N19</f>
        <v>7958263.52</v>
      </c>
    </row>
    <row r="22" customFormat="false" ht="15" hidden="false" customHeight="true" outlineLevel="0" collapsed="false">
      <c r="A22" s="17" t="s">
        <v>108</v>
      </c>
      <c r="B22" s="18" t="n">
        <f aca="false">B15+B20</f>
        <v>1618596.32</v>
      </c>
      <c r="C22" s="18" t="n">
        <f aca="false">C15+C20</f>
        <v>1802486.19</v>
      </c>
      <c r="D22" s="18" t="n">
        <f aca="false">D15+D20</f>
        <v>1982372.17</v>
      </c>
      <c r="E22" s="18" t="n">
        <f aca="false">E15+E20</f>
        <v>2159729.57</v>
      </c>
      <c r="F22" s="18" t="n">
        <f aca="false">F15+F20</f>
        <v>2344434.57</v>
      </c>
      <c r="G22" s="18" t="n">
        <f aca="false">G15+G20</f>
        <v>2529280.92</v>
      </c>
      <c r="H22" s="18" t="n">
        <f aca="false">H15+H20</f>
        <v>2714283.15</v>
      </c>
      <c r="I22" s="18" t="n">
        <f aca="false">I15+I20</f>
        <v>2879006.66</v>
      </c>
      <c r="J22" s="18" t="n">
        <f aca="false">J15+J20</f>
        <v>3046891.17</v>
      </c>
      <c r="K22" s="18" t="n">
        <f aca="false">K15+K20</f>
        <v>3210593.47</v>
      </c>
      <c r="L22" s="18" t="n">
        <f aca="false">L15+L20</f>
        <v>3384091.73</v>
      </c>
      <c r="M22" s="18" t="n">
        <f aca="false">M15+M20</f>
        <v>3571915.94</v>
      </c>
      <c r="N22" s="18" t="n">
        <f aca="false">N15+N20</f>
        <v>10247784.25</v>
      </c>
    </row>
    <row r="23" customFormat="false" ht="15" hidden="false" customHeight="true" outlineLevel="0" collapsed="false">
      <c r="A23" s="4" t="s">
        <v>109</v>
      </c>
      <c r="B23" s="12" t="n">
        <f aca="false">ROUND(B9-B22,0)</f>
        <v>0</v>
      </c>
      <c r="C23" s="12" t="n">
        <f aca="false">ROUND(C9-C22,0)</f>
        <v>0</v>
      </c>
      <c r="D23" s="12" t="n">
        <f aca="false">ROUND(D9-D22,0)</f>
        <v>-0</v>
      </c>
      <c r="E23" s="12" t="n">
        <f aca="false">ROUND(E9-E22,0)</f>
        <v>0</v>
      </c>
      <c r="F23" s="12" t="n">
        <f aca="false">ROUND(F9-F22,0)</f>
        <v>0</v>
      </c>
      <c r="G23" s="12" t="n">
        <f aca="false">ROUND(G9-G22,0)</f>
        <v>0</v>
      </c>
      <c r="H23" s="12" t="n">
        <f aca="false">ROUND(H9-H22,0)</f>
        <v>0</v>
      </c>
      <c r="I23" s="12" t="n">
        <f aca="false">ROUND(I9-I22,0)</f>
        <v>0</v>
      </c>
      <c r="J23" s="12" t="n">
        <f aca="false">ROUND(J9-J22,0)</f>
        <v>0</v>
      </c>
      <c r="K23" s="12" t="n">
        <f aca="false">ROUND(K9-K22,0)</f>
        <v>0</v>
      </c>
      <c r="L23" s="12" t="n">
        <f aca="false">ROUND(L9-L22,0)</f>
        <v>0</v>
      </c>
      <c r="M23" s="12" t="n">
        <f aca="false">ROUND(M9-M22,0)</f>
        <v>0</v>
      </c>
      <c r="N23" s="12" t="n">
        <f aca="false">ROUND(N9-N22,0)</f>
        <v>-0</v>
      </c>
    </row>
  </sheetData>
  <conditionalFormatting sqref="B23:N23">
    <cfRule type="cellIs" priority="2" operator="equal" aboveAverage="0" equalAverage="0" bottom="0" percent="0" rank="0" text="" dxfId="0">
      <formula>0</formula>
    </cfRule>
  </conditionalFormatting>
  <dataValidations count="1">
    <dataValidation allowBlank="false" errorStyle="stop" operator="between" showDropDown="false" showErrorMessage="false" showInputMessage="false" sqref="C2" type="list">
      <formula1>"DE01,DE02,US01"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3" min="2" style="1" width="11"/>
  </cols>
  <sheetData>
    <row r="2" customFormat="false" ht="15" hidden="false" customHeight="true" outlineLevel="0" collapsed="false">
      <c r="B2" s="20" t="s">
        <v>110</v>
      </c>
    </row>
    <row r="4" customFormat="false" ht="15" hidden="false" customHeight="true" outlineLevel="0" collapsed="false">
      <c r="A4" s="21" t="s">
        <v>111</v>
      </c>
      <c r="B4" s="21" t="s">
        <v>40</v>
      </c>
      <c r="C4" s="21" t="s">
        <v>41</v>
      </c>
      <c r="D4" s="21" t="s">
        <v>42</v>
      </c>
      <c r="E4" s="21" t="s">
        <v>43</v>
      </c>
      <c r="F4" s="21" t="s">
        <v>44</v>
      </c>
      <c r="G4" s="21" t="s">
        <v>45</v>
      </c>
      <c r="H4" s="21" t="s">
        <v>46</v>
      </c>
      <c r="I4" s="21" t="s">
        <v>47</v>
      </c>
      <c r="J4" s="21" t="s">
        <v>48</v>
      </c>
      <c r="K4" s="21" t="s">
        <v>49</v>
      </c>
      <c r="L4" s="21" t="s">
        <v>50</v>
      </c>
      <c r="M4" s="21" t="s">
        <v>51</v>
      </c>
    </row>
    <row r="5" customFormat="false" ht="15" hidden="false" customHeight="true" outlineLevel="0" collapsed="false">
      <c r="A5" s="4" t="s">
        <v>112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customFormat="false" ht="15" hidden="false" customHeight="true" outlineLevel="0" collapsed="false">
      <c r="A6" s="1" t="s">
        <v>113</v>
      </c>
      <c r="B6" s="16" t="n">
        <f aca="false">'P&amp;L'!B32</f>
        <v>168014.53</v>
      </c>
      <c r="C6" s="16" t="n">
        <f aca="false">'P&amp;L'!C32</f>
        <v>181601.54</v>
      </c>
      <c r="D6" s="16" t="n">
        <f aca="false">'P&amp;L'!D32</f>
        <v>179038.91</v>
      </c>
      <c r="E6" s="16" t="n">
        <f aca="false">'P&amp;L'!E32</f>
        <v>186638.91</v>
      </c>
      <c r="F6" s="16" t="n">
        <f aca="false">'P&amp;L'!F32</f>
        <v>186337.38</v>
      </c>
      <c r="G6" s="16" t="n">
        <f aca="false">'P&amp;L'!G32</f>
        <v>185952.47</v>
      </c>
      <c r="H6" s="16" t="n">
        <f aca="false">'P&amp;L'!H32</f>
        <v>187556.92</v>
      </c>
      <c r="I6" s="16" t="n">
        <f aca="false">'P&amp;L'!I32</f>
        <v>166834.86</v>
      </c>
      <c r="J6" s="16" t="n">
        <f aca="false">'P&amp;L'!J32</f>
        <v>169426.46</v>
      </c>
      <c r="K6" s="16" t="n">
        <f aca="false">'P&amp;L'!K32</f>
        <v>162859.15</v>
      </c>
      <c r="L6" s="16" t="n">
        <f aca="false">'P&amp;L'!L32</f>
        <v>174554.11</v>
      </c>
      <c r="M6" s="16" t="n">
        <f aca="false">'P&amp;L'!M32</f>
        <v>187701.33</v>
      </c>
    </row>
    <row r="7" customFormat="false" ht="15" hidden="false" customHeight="true" outlineLevel="0" collapsed="false">
      <c r="A7" s="1" t="s">
        <v>114</v>
      </c>
      <c r="B7" s="16" t="n">
        <f aca="false">'P&amp;L'!B29</f>
        <v>11458.48</v>
      </c>
      <c r="C7" s="16" t="n">
        <f aca="false">'P&amp;L'!C29</f>
        <v>10100.92</v>
      </c>
      <c r="D7" s="16" t="n">
        <f aca="false">'P&amp;L'!D29</f>
        <v>11747.87</v>
      </c>
      <c r="E7" s="16" t="n">
        <f aca="false">'P&amp;L'!E29</f>
        <v>11734.49</v>
      </c>
      <c r="F7" s="16" t="n">
        <f aca="false">'P&amp;L'!F29</f>
        <v>12068.23</v>
      </c>
      <c r="G7" s="16" t="n">
        <f aca="false">'P&amp;L'!G29</f>
        <v>11578.1</v>
      </c>
      <c r="H7" s="16" t="n">
        <f aca="false">'P&amp;L'!H29</f>
        <v>11692.45</v>
      </c>
      <c r="I7" s="16" t="n">
        <f aca="false">'P&amp;L'!I29</f>
        <v>11019.47</v>
      </c>
      <c r="J7" s="16" t="n">
        <f aca="false">'P&amp;L'!J29</f>
        <v>9936.61</v>
      </c>
      <c r="K7" s="16" t="n">
        <f aca="false">'P&amp;L'!K29</f>
        <v>10182.27</v>
      </c>
      <c r="L7" s="16" t="n">
        <f aca="false">'P&amp;L'!L29</f>
        <v>11393.43</v>
      </c>
      <c r="M7" s="16" t="n">
        <f aca="false">'P&amp;L'!M29</f>
        <v>11301.53</v>
      </c>
    </row>
    <row r="8" customFormat="false" ht="15" hidden="false" customHeight="true" outlineLevel="0" collapsed="false">
      <c r="A8" s="1" t="s">
        <v>115</v>
      </c>
      <c r="B8" s="12" t="n">
        <v>0</v>
      </c>
      <c r="C8" s="16" t="n">
        <f aca="false">-(Balance_Sheet!C7-Balance_Sheet!B7)</f>
        <v>-547.299999999988</v>
      </c>
      <c r="D8" s="16" t="n">
        <f aca="false">-(Balance_Sheet!D7-Balance_Sheet!C7)</f>
        <v>-3331.45000000001</v>
      </c>
      <c r="E8" s="16" t="n">
        <f aca="false">-(Balance_Sheet!E7-Balance_Sheet!D7)</f>
        <v>-1821.42999999999</v>
      </c>
      <c r="F8" s="16" t="n">
        <f aca="false">-(Balance_Sheet!F7-Balance_Sheet!E7)</f>
        <v>-1242.29000000001</v>
      </c>
      <c r="G8" s="16" t="n">
        <f aca="false">-(Balance_Sheet!G7-Balance_Sheet!F7)</f>
        <v>2290.42000000001</v>
      </c>
      <c r="H8" s="16" t="n">
        <f aca="false">-(Balance_Sheet!H7-Balance_Sheet!G7)</f>
        <v>-6323.82000000001</v>
      </c>
      <c r="I8" s="16" t="n">
        <f aca="false">-(Balance_Sheet!I7-Balance_Sheet!H7)</f>
        <v>-2030.70000000001</v>
      </c>
      <c r="J8" s="16" t="n">
        <f aca="false">-(Balance_Sheet!J7-Balance_Sheet!I7)</f>
        <v>-2597.17999999999</v>
      </c>
      <c r="K8" s="16" t="n">
        <f aca="false">-(Balance_Sheet!K7-Balance_Sheet!J7)</f>
        <v>-844.059999999998</v>
      </c>
      <c r="L8" s="16" t="n">
        <f aca="false">-(Balance_Sheet!L7-Balance_Sheet!K7)</f>
        <v>-6758.04999999999</v>
      </c>
      <c r="M8" s="16" t="n">
        <f aca="false">-(Balance_Sheet!M7-Balance_Sheet!L7)</f>
        <v>3856.26999999999</v>
      </c>
    </row>
    <row r="9" customFormat="false" ht="15" hidden="false" customHeight="true" outlineLevel="0" collapsed="false">
      <c r="A9" s="1" t="s">
        <v>116</v>
      </c>
      <c r="B9" s="12" t="n">
        <v>0</v>
      </c>
      <c r="C9" s="16" t="n">
        <f aca="false">Balance_Sheet!C12-Balance_Sheet!B12</f>
        <v>4667.28</v>
      </c>
      <c r="D9" s="16" t="n">
        <f aca="false">Balance_Sheet!D12-Balance_Sheet!C12</f>
        <v>3436.59</v>
      </c>
      <c r="E9" s="16" t="n">
        <f aca="false">Balance_Sheet!E12-Balance_Sheet!D12</f>
        <v>-6603.17000000001</v>
      </c>
      <c r="F9" s="16" t="n">
        <f aca="false">Balance_Sheet!F12-Balance_Sheet!E12</f>
        <v>-1619.45999999999</v>
      </c>
      <c r="G9" s="16" t="n">
        <f aca="false">Balance_Sheet!G12-Balance_Sheet!F12</f>
        <v>399.890000000014</v>
      </c>
      <c r="H9" s="16" t="n">
        <f aca="false">Balance_Sheet!H12-Balance_Sheet!G12</f>
        <v>-2089.66</v>
      </c>
      <c r="I9" s="16" t="n">
        <f aca="false">Balance_Sheet!I12-Balance_Sheet!H12</f>
        <v>-953.770000000019</v>
      </c>
      <c r="J9" s="16" t="n">
        <f aca="false">Balance_Sheet!J12-Balance_Sheet!I12</f>
        <v>-0.539999999979045</v>
      </c>
      <c r="K9" s="16" t="n">
        <f aca="false">Balance_Sheet!K12-Balance_Sheet!J12</f>
        <v>1783.78999999998</v>
      </c>
      <c r="L9" s="16" t="n">
        <f aca="false">Balance_Sheet!L12-Balance_Sheet!K12</f>
        <v>-1594.53999999998</v>
      </c>
      <c r="M9" s="16" t="n">
        <f aca="false">Balance_Sheet!M12-Balance_Sheet!L12</f>
        <v>1120.53999999998</v>
      </c>
    </row>
    <row r="10" customFormat="false" ht="15" hidden="false" customHeight="true" outlineLevel="0" collapsed="false">
      <c r="A10" s="1" t="s">
        <v>117</v>
      </c>
      <c r="B10" s="12" t="n">
        <v>0</v>
      </c>
      <c r="C10" s="16" t="n">
        <f aca="false">Balance_Sheet!C13-Balance_Sheet!B13</f>
        <v>-207.669999999998</v>
      </c>
      <c r="D10" s="16" t="n">
        <f aca="false">Balance_Sheet!D13-Balance_Sheet!C13</f>
        <v>-426.93</v>
      </c>
      <c r="E10" s="16" t="n">
        <f aca="false">Balance_Sheet!E13-Balance_Sheet!D13</f>
        <v>-524.389999999999</v>
      </c>
      <c r="F10" s="16" t="n">
        <f aca="false">Balance_Sheet!F13-Balance_Sheet!E13</f>
        <v>2132.41</v>
      </c>
      <c r="G10" s="16" t="n">
        <f aca="false">Balance_Sheet!G13-Balance_Sheet!F13</f>
        <v>630.739999999991</v>
      </c>
      <c r="H10" s="16" t="n">
        <f aca="false">Balance_Sheet!H13-Balance_Sheet!G13</f>
        <v>1663.17000000001</v>
      </c>
      <c r="I10" s="16" t="n">
        <f aca="false">Balance_Sheet!I13-Balance_Sheet!H13</f>
        <v>962.099999999991</v>
      </c>
      <c r="J10" s="16" t="n">
        <f aca="false">Balance_Sheet!J13-Balance_Sheet!I13</f>
        <v>569.800000000003</v>
      </c>
      <c r="K10" s="16" t="n">
        <f aca="false">Balance_Sheet!K13-Balance_Sheet!J13</f>
        <v>1162.13</v>
      </c>
      <c r="L10" s="16" t="n">
        <f aca="false">Balance_Sheet!L13-Balance_Sheet!K13</f>
        <v>2633.03999999999</v>
      </c>
      <c r="M10" s="16" t="n">
        <f aca="false">Balance_Sheet!M13-Balance_Sheet!L13</f>
        <v>1088.31</v>
      </c>
    </row>
    <row r="11" customFormat="false" ht="15" hidden="false" customHeight="true" outlineLevel="0" collapsed="false">
      <c r="A11" s="17" t="s">
        <v>118</v>
      </c>
      <c r="B11" s="18" t="n">
        <f aca="false">B6+B7+B8+B9+B10</f>
        <v>179473.01</v>
      </c>
      <c r="C11" s="18" t="n">
        <f aca="false">C6+C7+C8+C9+C10</f>
        <v>195614.77</v>
      </c>
      <c r="D11" s="18" t="n">
        <f aca="false">D6+D7+D8+D9+D10</f>
        <v>190464.99</v>
      </c>
      <c r="E11" s="18" t="n">
        <f aca="false">E6+E7+E8+E9+E10</f>
        <v>189424.41</v>
      </c>
      <c r="F11" s="18" t="n">
        <f aca="false">F6+F7+F8+F9+F10</f>
        <v>197676.27</v>
      </c>
      <c r="G11" s="18" t="n">
        <f aca="false">G6+G7+G8+G9+G10</f>
        <v>200851.62</v>
      </c>
      <c r="H11" s="18" t="n">
        <f aca="false">H6+H7+H8+H9+H10</f>
        <v>192499.06</v>
      </c>
      <c r="I11" s="18" t="n">
        <f aca="false">I6+I7+I8+I9+I10</f>
        <v>175831.96</v>
      </c>
      <c r="J11" s="18" t="n">
        <f aca="false">J6+J7+J8+J9+J10</f>
        <v>177335.15</v>
      </c>
      <c r="K11" s="18" t="n">
        <f aca="false">K6+K7+K8+K9+K10</f>
        <v>175143.28</v>
      </c>
      <c r="L11" s="18" t="n">
        <f aca="false">L6+L7+L8+L9+L10</f>
        <v>180227.99</v>
      </c>
      <c r="M11" s="18" t="n">
        <f aca="false">M6+M7+M8+M9+M10</f>
        <v>205067.98</v>
      </c>
    </row>
    <row r="13" customFormat="false" ht="15" hidden="false" customHeight="true" outlineLevel="0" collapsed="false">
      <c r="A13" s="4" t="s">
        <v>119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customFormat="false" ht="15" hidden="false" customHeight="true" outlineLevel="0" collapsed="false">
      <c r="A14" s="1" t="s">
        <v>120</v>
      </c>
      <c r="B14" s="12" t="n">
        <v>0</v>
      </c>
      <c r="C14" s="16" t="n">
        <f aca="false">-(Balance_Sheet!C8-Balance_Sheet!B8)-C7</f>
        <v>-11111.01</v>
      </c>
      <c r="D14" s="16" t="n">
        <f aca="false">-(Balance_Sheet!D8-Balance_Sheet!C8)-D7</f>
        <v>-12922.66</v>
      </c>
      <c r="E14" s="16" t="n">
        <f aca="false">-(Balance_Sheet!E8-Balance_Sheet!D8)-E7</f>
        <v>-12907.9400000001</v>
      </c>
      <c r="F14" s="16" t="n">
        <f aca="false">-(Balance_Sheet!F8-Balance_Sheet!E8)-F7</f>
        <v>-13275.0499999999</v>
      </c>
      <c r="G14" s="16" t="n">
        <f aca="false">-(Balance_Sheet!G8-Balance_Sheet!F8)-G7</f>
        <v>-12735.9100000001</v>
      </c>
      <c r="H14" s="16" t="n">
        <f aca="false">-(Balance_Sheet!H8-Balance_Sheet!G8)-H7</f>
        <v>-12861.69</v>
      </c>
      <c r="I14" s="16" t="n">
        <f aca="false">-(Balance_Sheet!I8-Balance_Sheet!H8)-I7</f>
        <v>-12121.42</v>
      </c>
      <c r="J14" s="16" t="n">
        <f aca="false">-(Balance_Sheet!J8-Balance_Sheet!I8)-J7</f>
        <v>-10930.27</v>
      </c>
      <c r="K14" s="16" t="n">
        <f aca="false">-(Balance_Sheet!K8-Balance_Sheet!J8)-K7</f>
        <v>-11200.5</v>
      </c>
      <c r="L14" s="16" t="n">
        <f aca="false">-(Balance_Sheet!L8-Balance_Sheet!K8)-L7</f>
        <v>-12532.77</v>
      </c>
      <c r="M14" s="16" t="n">
        <f aca="false">-(Balance_Sheet!M8-Balance_Sheet!L8)-M7</f>
        <v>-12431.69</v>
      </c>
    </row>
    <row r="15" customFormat="false" ht="15" hidden="false" customHeight="true" outlineLevel="0" collapsed="false">
      <c r="A15" s="17" t="s">
        <v>121</v>
      </c>
      <c r="B15" s="18" t="n">
        <f aca="false">B14</f>
        <v>0</v>
      </c>
      <c r="C15" s="18" t="n">
        <f aca="false">C14</f>
        <v>-11111.01</v>
      </c>
      <c r="D15" s="18" t="n">
        <f aca="false">D14</f>
        <v>-12922.66</v>
      </c>
      <c r="E15" s="18" t="n">
        <f aca="false">E14</f>
        <v>-12907.9400000001</v>
      </c>
      <c r="F15" s="18" t="n">
        <f aca="false">F14</f>
        <v>-13275.0499999999</v>
      </c>
      <c r="G15" s="18" t="n">
        <f aca="false">G14</f>
        <v>-12735.9100000001</v>
      </c>
      <c r="H15" s="18" t="n">
        <f aca="false">H14</f>
        <v>-12861.69</v>
      </c>
      <c r="I15" s="18" t="n">
        <f aca="false">I14</f>
        <v>-12121.42</v>
      </c>
      <c r="J15" s="18" t="n">
        <f aca="false">J14</f>
        <v>-10930.27</v>
      </c>
      <c r="K15" s="18" t="n">
        <f aca="false">K14</f>
        <v>-11200.5</v>
      </c>
      <c r="L15" s="18" t="n">
        <f aca="false">L14</f>
        <v>-12532.77</v>
      </c>
      <c r="M15" s="18" t="n">
        <f aca="false">M14</f>
        <v>-12431.69</v>
      </c>
    </row>
    <row r="17" customFormat="false" ht="15" hidden="false" customHeight="true" outlineLevel="0" collapsed="false">
      <c r="A17" s="4" t="s">
        <v>122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customFormat="false" ht="15" hidden="false" customHeight="true" outlineLevel="0" collapsed="false">
      <c r="A18" s="1" t="s">
        <v>123</v>
      </c>
      <c r="B18" s="12" t="n">
        <v>0</v>
      </c>
      <c r="C18" s="16" t="n">
        <f aca="false">Balance_Sheet!C14-Balance_Sheet!B14</f>
        <v>-2171.28000000003</v>
      </c>
      <c r="D18" s="16" t="n">
        <f aca="false">Balance_Sheet!D14-Balance_Sheet!C14</f>
        <v>-2162.58999999997</v>
      </c>
      <c r="E18" s="16" t="n">
        <f aca="false">Balance_Sheet!E14-Balance_Sheet!D14</f>
        <v>-2153.94999999995</v>
      </c>
      <c r="F18" s="16" t="n">
        <f aca="false">Balance_Sheet!F14-Balance_Sheet!E14</f>
        <v>-2145.33000000007</v>
      </c>
      <c r="G18" s="16" t="n">
        <f aca="false">Balance_Sheet!G14-Balance_Sheet!F14</f>
        <v>-2136.75</v>
      </c>
      <c r="H18" s="16" t="n">
        <f aca="false">Balance_Sheet!H14-Balance_Sheet!G14</f>
        <v>-2128.19999999995</v>
      </c>
      <c r="I18" s="16" t="n">
        <f aca="false">Balance_Sheet!I14-Balance_Sheet!H14</f>
        <v>-2119.68000000005</v>
      </c>
      <c r="J18" s="16" t="n">
        <f aca="false">Balance_Sheet!J14-Balance_Sheet!I14</f>
        <v>-2111.20999999996</v>
      </c>
      <c r="K18" s="16" t="n">
        <f aca="false">Balance_Sheet!K14-Balance_Sheet!J14</f>
        <v>-2102.77000000002</v>
      </c>
      <c r="L18" s="16" t="n">
        <f aca="false">Balance_Sheet!L14-Balance_Sheet!K14</f>
        <v>-2094.34999999998</v>
      </c>
      <c r="M18" s="16" t="n">
        <f aca="false">Balance_Sheet!M14-Balance_Sheet!L14</f>
        <v>-2085.97000000003</v>
      </c>
    </row>
    <row r="19" customFormat="false" ht="15" hidden="false" customHeight="true" outlineLevel="0" collapsed="false">
      <c r="A19" s="17" t="s">
        <v>124</v>
      </c>
      <c r="B19" s="18" t="n">
        <f aca="false">B18</f>
        <v>0</v>
      </c>
      <c r="C19" s="18" t="n">
        <f aca="false">C18</f>
        <v>-2171.28000000003</v>
      </c>
      <c r="D19" s="18" t="n">
        <f aca="false">D18</f>
        <v>-2162.58999999997</v>
      </c>
      <c r="E19" s="18" t="n">
        <f aca="false">E18</f>
        <v>-2153.94999999995</v>
      </c>
      <c r="F19" s="18" t="n">
        <f aca="false">F18</f>
        <v>-2145.33000000007</v>
      </c>
      <c r="G19" s="18" t="n">
        <f aca="false">G18</f>
        <v>-2136.75</v>
      </c>
      <c r="H19" s="18" t="n">
        <f aca="false">H18</f>
        <v>-2128.19999999995</v>
      </c>
      <c r="I19" s="18" t="n">
        <f aca="false">I18</f>
        <v>-2119.68000000005</v>
      </c>
      <c r="J19" s="18" t="n">
        <f aca="false">J18</f>
        <v>-2111.20999999996</v>
      </c>
      <c r="K19" s="18" t="n">
        <f aca="false">K18</f>
        <v>-2102.77000000002</v>
      </c>
      <c r="L19" s="18" t="n">
        <f aca="false">L18</f>
        <v>-2094.34999999998</v>
      </c>
      <c r="M19" s="18" t="n">
        <f aca="false">M18</f>
        <v>-2085.97000000003</v>
      </c>
    </row>
    <row r="21" customFormat="false" ht="15" hidden="false" customHeight="true" outlineLevel="0" collapsed="false">
      <c r="A21" s="17" t="s">
        <v>125</v>
      </c>
      <c r="B21" s="18" t="n">
        <f aca="false">B11+B15+B19</f>
        <v>179473.01</v>
      </c>
      <c r="C21" s="18" t="n">
        <f aca="false">C11+C15+C19</f>
        <v>182332.48</v>
      </c>
      <c r="D21" s="18" t="n">
        <f aca="false">D11+D15+D19</f>
        <v>175379.74</v>
      </c>
      <c r="E21" s="18" t="n">
        <f aca="false">E11+E15+E19</f>
        <v>174362.52</v>
      </c>
      <c r="F21" s="18" t="n">
        <f aca="false">F11+F15+F19</f>
        <v>182255.89</v>
      </c>
      <c r="G21" s="18" t="n">
        <f aca="false">G11+G15+G19</f>
        <v>185978.96</v>
      </c>
      <c r="H21" s="18" t="n">
        <f aca="false">H11+H15+H19</f>
        <v>177509.17</v>
      </c>
      <c r="I21" s="18" t="n">
        <f aca="false">I11+I15+I19</f>
        <v>161590.86</v>
      </c>
      <c r="J21" s="18" t="n">
        <f aca="false">J11+J15+J19</f>
        <v>164293.67</v>
      </c>
      <c r="K21" s="18" t="n">
        <f aca="false">K11+K15+K19</f>
        <v>161840.01</v>
      </c>
      <c r="L21" s="18" t="n">
        <f aca="false">L11+L15+L19</f>
        <v>165600.87</v>
      </c>
      <c r="M21" s="18" t="n">
        <f aca="false">M11+M15+M19</f>
        <v>190550.32</v>
      </c>
    </row>
    <row r="22" customFormat="false" ht="15" hidden="false" customHeight="true" outlineLevel="0" collapsed="false">
      <c r="A22" s="1" t="s">
        <v>126</v>
      </c>
      <c r="B22" s="12" t="n">
        <f aca="false">Balance_Sheet!B6-B21</f>
        <v>252411</v>
      </c>
      <c r="C22" s="12" t="n">
        <f aca="false">B23</f>
        <v>431884.01</v>
      </c>
      <c r="D22" s="12" t="n">
        <f aca="false">C23</f>
        <v>614216.49</v>
      </c>
      <c r="E22" s="12" t="n">
        <f aca="false">D23</f>
        <v>789596.23</v>
      </c>
      <c r="F22" s="12" t="n">
        <f aca="false">E23</f>
        <v>963958.75</v>
      </c>
      <c r="G22" s="12" t="n">
        <f aca="false">F23</f>
        <v>1146214.64</v>
      </c>
      <c r="H22" s="12" t="n">
        <f aca="false">G23</f>
        <v>1332193.6</v>
      </c>
      <c r="I22" s="12" t="n">
        <f aca="false">H23</f>
        <v>1509702.77</v>
      </c>
      <c r="J22" s="12" t="n">
        <f aca="false">I23</f>
        <v>1671293.63</v>
      </c>
      <c r="K22" s="12" t="n">
        <f aca="false">J23</f>
        <v>1835587.3</v>
      </c>
      <c r="L22" s="12" t="n">
        <f aca="false">K23</f>
        <v>1997427.31</v>
      </c>
      <c r="M22" s="12" t="n">
        <f aca="false">L23</f>
        <v>2163028.18</v>
      </c>
    </row>
    <row r="23" customFormat="false" ht="15" hidden="false" customHeight="true" outlineLevel="0" collapsed="false">
      <c r="A23" s="17" t="s">
        <v>127</v>
      </c>
      <c r="B23" s="18" t="n">
        <f aca="false">B22+B21</f>
        <v>431884.01</v>
      </c>
      <c r="C23" s="18" t="n">
        <f aca="false">C22+C21</f>
        <v>614216.49</v>
      </c>
      <c r="D23" s="18" t="n">
        <f aca="false">D22+D21</f>
        <v>789596.23</v>
      </c>
      <c r="E23" s="18" t="n">
        <f aca="false">E22+E21</f>
        <v>963958.75</v>
      </c>
      <c r="F23" s="18" t="n">
        <f aca="false">F22+F21</f>
        <v>1146214.64</v>
      </c>
      <c r="G23" s="18" t="n">
        <f aca="false">G22+G21</f>
        <v>1332193.6</v>
      </c>
      <c r="H23" s="18" t="n">
        <f aca="false">H22+H21</f>
        <v>1509702.77</v>
      </c>
      <c r="I23" s="18" t="n">
        <f aca="false">I22+I21</f>
        <v>1671293.63</v>
      </c>
      <c r="J23" s="18" t="n">
        <f aca="false">J22+J21</f>
        <v>1835587.3</v>
      </c>
      <c r="K23" s="18" t="n">
        <f aca="false">K22+K21</f>
        <v>1997427.31</v>
      </c>
      <c r="L23" s="18" t="n">
        <f aca="false">L22+L21</f>
        <v>2163028.18</v>
      </c>
      <c r="M23" s="18" t="n">
        <f aca="false">M22+M21</f>
        <v>2353578.5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5" min="3" style="1" width="14"/>
    <col collapsed="false" customWidth="true" hidden="false" outlineLevel="0" max="6" min="6" style="1" width="12"/>
    <col collapsed="false" customWidth="true" hidden="false" outlineLevel="0" max="7" min="7" style="1" width="30"/>
  </cols>
  <sheetData>
    <row r="2" customFormat="false" ht="15" hidden="false" customHeight="true" outlineLevel="0" collapsed="false">
      <c r="B2" s="4" t="s">
        <v>64</v>
      </c>
      <c r="C2" s="14" t="s">
        <v>65</v>
      </c>
    </row>
    <row r="3" customFormat="false" ht="15" hidden="false" customHeight="true" outlineLevel="0" collapsed="false">
      <c r="B3" s="4" t="s">
        <v>128</v>
      </c>
      <c r="C3" s="14" t="s">
        <v>129</v>
      </c>
    </row>
    <row r="5" customFormat="false" ht="15" hidden="false" customHeight="true" outlineLevel="0" collapsed="false">
      <c r="A5" s="15" t="s">
        <v>130</v>
      </c>
      <c r="B5" s="15" t="s">
        <v>131</v>
      </c>
      <c r="C5" s="15" t="s">
        <v>132</v>
      </c>
      <c r="D5" s="15" t="s">
        <v>133</v>
      </c>
      <c r="E5" s="15" t="s">
        <v>134</v>
      </c>
      <c r="F5" s="15" t="s">
        <v>135</v>
      </c>
      <c r="G5" s="15" t="s">
        <v>136</v>
      </c>
    </row>
    <row r="6" customFormat="false" ht="15" hidden="false" customHeight="true" outlineLevel="0" collapsed="false">
      <c r="A6" s="1" t="s">
        <v>137</v>
      </c>
      <c r="B6" s="1" t="s">
        <v>52</v>
      </c>
      <c r="C6" s="16" t="n">
        <f aca="false">SUMIFS(Data_GL!$G:$G,Data_GL!$A:$A,$C$2,Data_GL!$B:$B,$C$3,Data_GL!$C:$C,"4000")</f>
        <v>401790.83</v>
      </c>
      <c r="D6" s="16" t="n">
        <f aca="false">SUMIFS(Data_Budget!$F:$F,Data_Budget!$A:$A,$C$2,Data_Budget!$B:$B,$C$3,Data_Budget!$C:$C,"4000")</f>
        <v>499955.7</v>
      </c>
      <c r="E6" s="12" t="n">
        <f aca="false">C6-D6</f>
        <v>-98164.87</v>
      </c>
      <c r="F6" s="22" t="n">
        <f aca="false">IF(D6=0,0,E6/ABS(D6))</f>
        <v>-0.196347136356281</v>
      </c>
      <c r="G6" s="1" t="str">
        <f aca="false">IF(F6&lt;-0.1,"Investigate - Unfavorable &gt;10%",IF(F6&gt;0.1,"Favorable - review driver",""))</f>
        <v>Investigate - Unfavorable &gt;10%</v>
      </c>
    </row>
    <row r="7" customFormat="false" ht="15" hidden="false" customHeight="true" outlineLevel="0" collapsed="false">
      <c r="A7" s="1" t="s">
        <v>138</v>
      </c>
      <c r="B7" s="1" t="s">
        <v>52</v>
      </c>
      <c r="C7" s="16" t="n">
        <f aca="false">SUMIFS(Data_GL!$G:$G,Data_GL!$A:$A,$C$2,Data_GL!$B:$B,$C$3,Data_GL!$C:$C,"4010")</f>
        <v>172196.07</v>
      </c>
      <c r="D7" s="16" t="n">
        <f aca="false">SUMIFS(Data_Budget!$F:$F,Data_Budget!$A:$A,$C$2,Data_Budget!$B:$B,$C$3,Data_Budget!$C:$C,"4010")</f>
        <v>252924.04</v>
      </c>
      <c r="E7" s="12" t="n">
        <f aca="false">C7-D7</f>
        <v>-80727.97</v>
      </c>
      <c r="F7" s="22" t="n">
        <f aca="false">IF(D7=0,0,E7/ABS(D7))</f>
        <v>-0.319178714684456</v>
      </c>
      <c r="G7" s="1" t="str">
        <f aca="false">IF(F7&lt;-0.1,"Investigate - Unfavorable &gt;10%",IF(F7&gt;0.1,"Favorable - review driver",""))</f>
        <v>Investigate - Unfavorable &gt;10%</v>
      </c>
    </row>
    <row r="8" customFormat="false" ht="15" hidden="false" customHeight="true" outlineLevel="0" collapsed="false">
      <c r="A8" s="1" t="s">
        <v>139</v>
      </c>
      <c r="B8" s="1" t="s">
        <v>140</v>
      </c>
      <c r="C8" s="16" t="n">
        <f aca="false">SUMIFS(Data_GL!$G:$G,Data_GL!$A:$A,$C$2,Data_GL!$B:$B,$C$3,Data_GL!$C:$C,"5000")</f>
        <v>183675.81</v>
      </c>
      <c r="D8" s="16" t="n">
        <f aca="false">SUMIFS(Data_Budget!$F:$F,Data_Budget!$A:$A,$C$2,Data_Budget!$B:$B,$C$3,Data_Budget!$C:$C,"5000")</f>
        <v>166061.6</v>
      </c>
      <c r="E8" s="12" t="n">
        <f aca="false">D8-C8</f>
        <v>-17614.21</v>
      </c>
      <c r="F8" s="22" t="n">
        <f aca="false">IF(D8=0,0,E8/ABS(D8))</f>
        <v>-0.106070337754183</v>
      </c>
      <c r="G8" s="1" t="str">
        <f aca="false">IF(F8&lt;-0.1,"Investigate - Unfavorable &gt;10%",IF(F8&gt;0.1,"Favorable - review driver",""))</f>
        <v>Investigate - Unfavorable &gt;10%</v>
      </c>
    </row>
    <row r="9" customFormat="false" ht="15" hidden="false" customHeight="true" outlineLevel="0" collapsed="false">
      <c r="A9" s="1" t="s">
        <v>141</v>
      </c>
      <c r="B9" s="1" t="s">
        <v>140</v>
      </c>
      <c r="C9" s="16" t="n">
        <f aca="false">SUMIFS(Data_GL!$G:$G,Data_GL!$A:$A,$C$2,Data_GL!$B:$B,$C$3,Data_GL!$C:$C,"5010")</f>
        <v>34439.22</v>
      </c>
      <c r="D9" s="16" t="n">
        <f aca="false">SUMIFS(Data_Budget!$F:$F,Data_Budget!$A:$A,$C$2,Data_Budget!$B:$B,$C$3,Data_Budget!$C:$C,"5010")</f>
        <v>165986.1</v>
      </c>
      <c r="E9" s="12" t="n">
        <f aca="false">D9-C9</f>
        <v>131546.88</v>
      </c>
      <c r="F9" s="22" t="n">
        <f aca="false">IF(D9=0,0,E9/ABS(D9))</f>
        <v>0.792517445737926</v>
      </c>
      <c r="G9" s="1" t="str">
        <f aca="false">IF(F9&lt;-0.1,"Investigate - Unfavorable &gt;10%",IF(F9&gt;0.1,"Favorable - review driver",""))</f>
        <v>Favorable - review driver</v>
      </c>
    </row>
    <row r="10" customFormat="false" ht="15" hidden="false" customHeight="true" outlineLevel="0" collapsed="false">
      <c r="A10" s="1" t="s">
        <v>142</v>
      </c>
      <c r="B10" s="1" t="s">
        <v>143</v>
      </c>
      <c r="C10" s="16" t="n">
        <f aca="false">SUMIFS(Data_GL!$G:$G,Data_GL!$A:$A,$C$2,Data_GL!$B:$B,$C$3,Data_GL!$C:$C,"6000")</f>
        <v>92796.98</v>
      </c>
      <c r="D10" s="16" t="n">
        <f aca="false">SUMIFS(Data_Budget!$F:$F,Data_Budget!$A:$A,$C$2,Data_Budget!$B:$B,$C$3,Data_Budget!$C:$C,"6000")</f>
        <v>36099.48</v>
      </c>
      <c r="E10" s="12" t="n">
        <f aca="false">D10-C10</f>
        <v>-56697.5</v>
      </c>
      <c r="F10" s="22" t="n">
        <f aca="false">IF(D10=0,0,E10/ABS(D10))</f>
        <v>-1.57059049050014</v>
      </c>
      <c r="G10" s="1" t="str">
        <f aca="false">IF(F10&lt;-0.1,"Investigate - Unfavorable &gt;10%",IF(F10&gt;0.1,"Favorable - review driver",""))</f>
        <v>Investigate - Unfavorable &gt;10%</v>
      </c>
    </row>
    <row r="11" customFormat="false" ht="15" hidden="false" customHeight="true" outlineLevel="0" collapsed="false">
      <c r="A11" s="1" t="s">
        <v>144</v>
      </c>
      <c r="B11" s="1" t="s">
        <v>143</v>
      </c>
      <c r="C11" s="16" t="n">
        <f aca="false">SUMIFS(Data_GL!$G:$G,Data_GL!$A:$A,$C$2,Data_GL!$B:$B,$C$3,Data_GL!$C:$C,"6010")</f>
        <v>25887.28</v>
      </c>
      <c r="D11" s="16" t="n">
        <f aca="false">SUMIFS(Data_Budget!$F:$F,Data_Budget!$A:$A,$C$2,Data_Budget!$B:$B,$C$3,Data_Budget!$C:$C,"6010")</f>
        <v>36163.52</v>
      </c>
      <c r="E11" s="12" t="n">
        <f aca="false">D11-C11</f>
        <v>10276.24</v>
      </c>
      <c r="F11" s="22" t="n">
        <f aca="false">IF(D11=0,0,E11/ABS(D11))</f>
        <v>0.284160391466317</v>
      </c>
      <c r="G11" s="1" t="str">
        <f aca="false">IF(F11&lt;-0.1,"Investigate - Unfavorable &gt;10%",IF(F11&gt;0.1,"Favorable - review driver",""))</f>
        <v>Favorable - review driver</v>
      </c>
    </row>
    <row r="12" customFormat="false" ht="15" hidden="false" customHeight="true" outlineLevel="0" collapsed="false">
      <c r="A12" s="1" t="s">
        <v>145</v>
      </c>
      <c r="B12" s="1" t="s">
        <v>143</v>
      </c>
      <c r="C12" s="16" t="n">
        <f aca="false">SUMIFS(Data_GL!$G:$G,Data_GL!$A:$A,$C$2,Data_GL!$B:$B,$C$3,Data_GL!$C:$C,"6020")</f>
        <v>13396.72</v>
      </c>
      <c r="D12" s="16" t="n">
        <f aca="false">SUMIFS(Data_Budget!$F:$F,Data_Budget!$A:$A,$C$2,Data_Budget!$B:$B,$C$3,Data_Budget!$C:$C,"6020")</f>
        <v>34228.41</v>
      </c>
      <c r="E12" s="12" t="n">
        <f aca="false">D12-C12</f>
        <v>20831.69</v>
      </c>
      <c r="F12" s="22" t="n">
        <f aca="false">IF(D12=0,0,E12/ABS(D12))</f>
        <v>0.608608170814829</v>
      </c>
      <c r="G12" s="1" t="str">
        <f aca="false">IF(F12&lt;-0.1,"Investigate - Unfavorable &gt;10%",IF(F12&gt;0.1,"Favorable - review driver",""))</f>
        <v>Favorable - review driver</v>
      </c>
    </row>
    <row r="13" customFormat="false" ht="15" hidden="false" customHeight="true" outlineLevel="0" collapsed="false">
      <c r="A13" s="1" t="s">
        <v>146</v>
      </c>
      <c r="B13" s="1" t="s">
        <v>143</v>
      </c>
      <c r="C13" s="16" t="n">
        <f aca="false">SUMIFS(Data_GL!$G:$G,Data_GL!$A:$A,$C$2,Data_GL!$B:$B,$C$3,Data_GL!$C:$C,"6030")</f>
        <v>11592.74</v>
      </c>
      <c r="D13" s="16" t="n">
        <f aca="false">SUMIFS(Data_Budget!$F:$F,Data_Budget!$A:$A,$C$2,Data_Budget!$B:$B,$C$3,Data_Budget!$C:$C,"6030")</f>
        <v>34454.31</v>
      </c>
      <c r="E13" s="12" t="n">
        <f aca="false">D13-C13</f>
        <v>22861.57</v>
      </c>
      <c r="F13" s="22" t="n">
        <f aca="false">IF(D13=0,0,E13/ABS(D13))</f>
        <v>0.663532951320169</v>
      </c>
      <c r="G13" s="1" t="str">
        <f aca="false">IF(F13&lt;-0.1,"Investigate - Unfavorable &gt;10%",IF(F13&gt;0.1,"Favorable - review driver",""))</f>
        <v>Favorable - review driver</v>
      </c>
    </row>
    <row r="14" customFormat="false" ht="15" hidden="false" customHeight="true" outlineLevel="0" collapsed="false">
      <c r="A14" s="1" t="s">
        <v>147</v>
      </c>
      <c r="B14" s="1" t="s">
        <v>143</v>
      </c>
      <c r="C14" s="16" t="n">
        <f aca="false">SUMIFS(Data_GL!$G:$G,Data_GL!$A:$A,$C$2,Data_GL!$B:$B,$C$3,Data_GL!$C:$C,"6040")</f>
        <v>8927.71</v>
      </c>
      <c r="D14" s="16" t="n">
        <f aca="false">SUMIFS(Data_Budget!$F:$F,Data_Budget!$A:$A,$C$2,Data_Budget!$B:$B,$C$3,Data_Budget!$C:$C,"6040")</f>
        <v>35224.83</v>
      </c>
      <c r="E14" s="12" t="n">
        <f aca="false">D14-C14</f>
        <v>26297.12</v>
      </c>
      <c r="F14" s="22" t="n">
        <f aca="false">IF(D14=0,0,E14/ABS(D14))</f>
        <v>0.746550657590115</v>
      </c>
      <c r="G14" s="1" t="str">
        <f aca="false">IF(F14&lt;-0.1,"Investigate - Unfavorable &gt;10%",IF(F14&gt;0.1,"Favorable - review driver",""))</f>
        <v>Favorable - review driver</v>
      </c>
    </row>
    <row r="15" customFormat="false" ht="15" hidden="false" customHeight="true" outlineLevel="0" collapsed="false">
      <c r="A15" s="4" t="s">
        <v>148</v>
      </c>
      <c r="C15" s="23" t="n">
        <f aca="false">SUM(C6:C14)</f>
        <v>944703.36</v>
      </c>
      <c r="D15" s="23" t="n">
        <f aca="false">SUM(D6:D14)</f>
        <v>1261097.99</v>
      </c>
      <c r="E15" s="23" t="n">
        <f aca="false">SUM(E6:E14)</f>
        <v>-41391.05</v>
      </c>
    </row>
  </sheetData>
  <conditionalFormatting sqref="F6:F14">
    <cfRule type="cellIs" priority="2" operator="lessThan" aboveAverage="0" equalAverage="0" bottom="0" percent="0" rank="0" text="" dxfId="1">
      <formula>-0.1</formula>
    </cfRule>
    <cfRule type="cellIs" priority="3" operator="greaterThan" aboveAverage="0" equalAverage="0" bottom="0" percent="0" rank="0" text="" dxfId="0">
      <formula>0.1</formula>
    </cfRule>
  </conditionalFormatting>
  <dataValidations count="2">
    <dataValidation allowBlank="false" errorStyle="stop" operator="between" showDropDown="false" showErrorMessage="false" showInputMessage="false" sqref="C2" type="list">
      <formula1>"DE01,DE02,US01"</formula1>
      <formula2>0</formula2>
    </dataValidation>
    <dataValidation allowBlank="false" errorStyle="stop" operator="between" showDropDown="false" showErrorMessage="false" showInputMessage="false" sqref="C3" type="list">
      <formula1>"2025-01,2025-02,2025-03,2025-04,2025-05,2025-06,2025-07,2025-08,2025-09,2025-10,2025-11,2025-12"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2" customFormat="false" ht="15" hidden="false" customHeight="true" outlineLevel="0" collapsed="false">
      <c r="B2" s="4" t="s">
        <v>64</v>
      </c>
      <c r="C2" s="14" t="s">
        <v>65</v>
      </c>
    </row>
    <row r="3" customFormat="false" ht="15" hidden="false" customHeight="true" outlineLevel="0" collapsed="false">
      <c r="B3" s="4" t="s">
        <v>149</v>
      </c>
      <c r="E3" s="24" t="n">
        <v>0.015</v>
      </c>
      <c r="F3" s="8" t="s">
        <v>150</v>
      </c>
    </row>
    <row r="5" customFormat="false" ht="15" hidden="false" customHeight="true" outlineLevel="0" collapsed="false">
      <c r="A5" s="21" t="s">
        <v>151</v>
      </c>
      <c r="B5" s="21" t="s">
        <v>40</v>
      </c>
      <c r="C5" s="21" t="s">
        <v>41</v>
      </c>
      <c r="D5" s="21" t="s">
        <v>42</v>
      </c>
      <c r="E5" s="21" t="s">
        <v>43</v>
      </c>
      <c r="F5" s="21" t="s">
        <v>44</v>
      </c>
      <c r="G5" s="21" t="s">
        <v>45</v>
      </c>
      <c r="H5" s="21" t="s">
        <v>46</v>
      </c>
      <c r="I5" s="21" t="s">
        <v>47</v>
      </c>
      <c r="J5" s="21" t="s">
        <v>48</v>
      </c>
      <c r="K5" s="21" t="s">
        <v>49</v>
      </c>
      <c r="L5" s="21" t="s">
        <v>50</v>
      </c>
      <c r="M5" s="21" t="s">
        <v>51</v>
      </c>
      <c r="N5" s="25" t="s">
        <v>152</v>
      </c>
      <c r="O5" s="25" t="s">
        <v>153</v>
      </c>
      <c r="P5" s="25" t="s">
        <v>154</v>
      </c>
      <c r="Q5" s="25" t="s">
        <v>155</v>
      </c>
      <c r="R5" s="25" t="s">
        <v>156</v>
      </c>
      <c r="S5" s="25" t="s">
        <v>157</v>
      </c>
    </row>
    <row r="6" customFormat="false" ht="15" hidden="false" customHeight="true" outlineLevel="0" collapsed="false">
      <c r="A6" s="4" t="s">
        <v>158</v>
      </c>
      <c r="B6" s="16" t="n">
        <f aca="false">SUMIFS(Data_GL!$G:$G,Data_GL!$A:$A,$C$2,Data_GL!$B:$B,"2025-01",Data_GL!$C:$C,"4000")+SUMIFS(Data_GL!$G:$G,Data_GL!$A:$A,$C$2,Data_GL!$B:$B,"2025-01",Data_GL!$C:$C,"4010")</f>
        <v>530996.43</v>
      </c>
      <c r="C6" s="16" t="n">
        <f aca="false">SUMIFS(Data_GL!$G:$G,Data_GL!$A:$A,$C$2,Data_GL!$B:$B,"2025-02",Data_GL!$C:$C,"4000")+SUMIFS(Data_GL!$G:$G,Data_GL!$A:$A,$C$2,Data_GL!$B:$B,"2025-02",Data_GL!$C:$C,"4010")</f>
        <v>558471.14</v>
      </c>
      <c r="D6" s="16" t="n">
        <f aca="false">SUMIFS(Data_GL!$G:$G,Data_GL!$A:$A,$C$2,Data_GL!$B:$B,"2025-03",Data_GL!$C:$C,"4000")+SUMIFS(Data_GL!$G:$G,Data_GL!$A:$A,$C$2,Data_GL!$B:$B,"2025-03",Data_GL!$C:$C,"4010")</f>
        <v>547286.69</v>
      </c>
      <c r="E6" s="16" t="n">
        <f aca="false">SUMIFS(Data_GL!$G:$G,Data_GL!$A:$A,$C$2,Data_GL!$B:$B,"2025-04",Data_GL!$C:$C,"4000")+SUMIFS(Data_GL!$G:$G,Data_GL!$A:$A,$C$2,Data_GL!$B:$B,"2025-04",Data_GL!$C:$C,"4010")</f>
        <v>575906.1</v>
      </c>
      <c r="F6" s="16" t="n">
        <f aca="false">SUMIFS(Data_GL!$G:$G,Data_GL!$A:$A,$C$2,Data_GL!$B:$B,"2025-05",Data_GL!$C:$C,"4000")+SUMIFS(Data_GL!$G:$G,Data_GL!$A:$A,$C$2,Data_GL!$B:$B,"2025-05",Data_GL!$C:$C,"4010")</f>
        <v>579575.41</v>
      </c>
      <c r="G6" s="16" t="n">
        <f aca="false">SUMIFS(Data_GL!$G:$G,Data_GL!$A:$A,$C$2,Data_GL!$B:$B,"2025-06",Data_GL!$C:$C,"4000")+SUMIFS(Data_GL!$G:$G,Data_GL!$A:$A,$C$2,Data_GL!$B:$B,"2025-06",Data_GL!$C:$C,"4010")</f>
        <v>573986.9</v>
      </c>
      <c r="H6" s="16" t="n">
        <f aca="false">SUMIFS(Data_GL!$G:$G,Data_GL!$A:$A,$C$2,Data_GL!$B:$B,"2025-07",Data_GL!$C:$C,"4000")+SUMIFS(Data_GL!$G:$G,Data_GL!$A:$A,$C$2,Data_GL!$B:$B,"2025-07",Data_GL!$C:$C,"4010")</f>
        <v>574747.73</v>
      </c>
      <c r="I6" s="16" t="n">
        <f aca="false">SUMIFS(Data_GL!$G:$G,Data_GL!$A:$A,$C$2,Data_GL!$B:$B,"2025-08",Data_GL!$C:$C,"4000")+SUMIFS(Data_GL!$G:$G,Data_GL!$A:$A,$C$2,Data_GL!$B:$B,"2025-08",Data_GL!$C:$C,"4010")</f>
        <v>526459.04</v>
      </c>
      <c r="J6" s="16" t="n">
        <f aca="false">SUMIFS(Data_GL!$G:$G,Data_GL!$A:$A,$C$2,Data_GL!$B:$B,"2025-09",Data_GL!$C:$C,"4000")+SUMIFS(Data_GL!$G:$G,Data_GL!$A:$A,$C$2,Data_GL!$B:$B,"2025-09",Data_GL!$C:$C,"4010")</f>
        <v>525922.7</v>
      </c>
      <c r="K6" s="16" t="n">
        <f aca="false">SUMIFS(Data_GL!$G:$G,Data_GL!$A:$A,$C$2,Data_GL!$B:$B,"2025-10",Data_GL!$C:$C,"4000")+SUMIFS(Data_GL!$G:$G,Data_GL!$A:$A,$C$2,Data_GL!$B:$B,"2025-10",Data_GL!$C:$C,"4010")</f>
        <v>526082.54</v>
      </c>
      <c r="L6" s="16" t="n">
        <f aca="false">SUMIFS(Data_GL!$G:$G,Data_GL!$A:$A,$C$2,Data_GL!$B:$B,"2025-11",Data_GL!$C:$C,"4000")+SUMIFS(Data_GL!$G:$G,Data_GL!$A:$A,$C$2,Data_GL!$B:$B,"2025-11",Data_GL!$C:$C,"4010")</f>
        <v>567202.47</v>
      </c>
      <c r="M6" s="16" t="n">
        <f aca="false">SUMIFS(Data_GL!$G:$G,Data_GL!$A:$A,$C$2,Data_GL!$B:$B,"2025-12",Data_GL!$C:$C,"4000")+SUMIFS(Data_GL!$G:$G,Data_GL!$A:$A,$C$2,Data_GL!$B:$B,"2025-12",Data_GL!$C:$C,"4010")</f>
        <v>580109.09</v>
      </c>
      <c r="N6" s="26" t="n">
        <f aca="false">M6*(1+$E$3)</f>
        <v>588810.72635</v>
      </c>
      <c r="O6" s="26" t="n">
        <f aca="false">N6*(1+$E$3)</f>
        <v>597642.88724525</v>
      </c>
      <c r="P6" s="26" t="n">
        <f aca="false">O6*(1+$E$3)</f>
        <v>606607.530553929</v>
      </c>
      <c r="Q6" s="26" t="n">
        <f aca="false">P6*(1+$E$3)</f>
        <v>615706.643512237</v>
      </c>
      <c r="R6" s="26" t="n">
        <f aca="false">Q6*(1+$E$3)</f>
        <v>624942.243164921</v>
      </c>
      <c r="S6" s="26" t="n">
        <f aca="false">R6*(1+$E$3)</f>
        <v>634316.376812395</v>
      </c>
    </row>
    <row r="7" customFormat="false" ht="15" hidden="false" customHeight="true" outlineLevel="0" collapsed="false">
      <c r="A7" s="27" t="s">
        <v>159</v>
      </c>
      <c r="E7" s="13" t="n">
        <f aca="false">IF(B6=0,0,(E6-B6)/B6/3)</f>
        <v>0.0281920727790957</v>
      </c>
      <c r="F7" s="13" t="n">
        <f aca="false">IF(C6=0,0,(F6-C6)/C6/3)</f>
        <v>0.0125964551483657</v>
      </c>
      <c r="G7" s="13" t="n">
        <f aca="false">IF(D6=0,0,(G6-D6)/D6/3)</f>
        <v>0.0162621714772563</v>
      </c>
      <c r="H7" s="13" t="n">
        <f aca="false">IF(E6=0,0,(H6-E6)/E6/3)</f>
        <v>-0.00067046230858352</v>
      </c>
      <c r="I7" s="13" t="n">
        <f aca="false">IF(F6=0,0,(I6-F6)/F6/3)</f>
        <v>-0.0305490128828389</v>
      </c>
      <c r="J7" s="13" t="n">
        <f aca="false">IF(G6=0,0,(J6-G6)/G6/3)</f>
        <v>-0.0279124837169629</v>
      </c>
      <c r="K7" s="13" t="n">
        <f aca="false">IF(H6=0,0,(K6-H6)/H6/3)</f>
        <v>-0.0282240871138369</v>
      </c>
      <c r="L7" s="13" t="n">
        <f aca="false">IF(I6=0,0,(L6-I6)/I6/3)</f>
        <v>0.0257971509679714</v>
      </c>
      <c r="M7" s="13" t="n">
        <f aca="false">IF(J6=0,0,(M6-J6)/J6/3)</f>
        <v>0.0343436972771854</v>
      </c>
      <c r="N7" s="13" t="n">
        <f aca="false">IF(K6=0,0,(N6-K6)/K6/3)</f>
        <v>0.0397454655119327</v>
      </c>
      <c r="O7" s="13" t="n">
        <f aca="false">IF(L6=0,0,(O6-L6)/L6/3)</f>
        <v>0.0178892129091339</v>
      </c>
      <c r="P7" s="13" t="n">
        <f aca="false">IF(M6=0,0,(P6-M6)/M6/3)</f>
        <v>0.0152261249999999</v>
      </c>
      <c r="Q7" s="13" t="n">
        <f aca="false">IF(N6=0,0,(Q6-N6)/N6/3)</f>
        <v>0.0152261249999999</v>
      </c>
      <c r="R7" s="13" t="n">
        <f aca="false">IF(O6=0,0,(R6-O6)/O6/3)</f>
        <v>0.0152261249999999</v>
      </c>
      <c r="S7" s="13" t="n">
        <f aca="false">IF(P6=0,0,(S6-P6)/P6/3)</f>
        <v>0.0152261249999999</v>
      </c>
    </row>
    <row r="8" customFormat="false" ht="15" hidden="false" customHeight="true" outlineLevel="0" collapsed="false">
      <c r="A8" s="27" t="s">
        <v>160</v>
      </c>
    </row>
  </sheetData>
  <dataValidations count="1">
    <dataValidation allowBlank="false" errorStyle="stop" operator="between" showDropDown="false" showErrorMessage="false" showInputMessage="false" sqref="C2" type="list">
      <formula1>"DE01,DE02,US01"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6"/>
  </cols>
  <sheetData>
    <row r="2" customFormat="false" ht="15" hidden="false" customHeight="true" outlineLevel="0" collapsed="false">
      <c r="B2" s="4" t="s">
        <v>64</v>
      </c>
      <c r="C2" s="14" t="s">
        <v>65</v>
      </c>
    </row>
    <row r="3" customFormat="false" ht="15" hidden="false" customHeight="true" outlineLevel="0" collapsed="false">
      <c r="B3" s="4" t="s">
        <v>128</v>
      </c>
      <c r="C3" s="14" t="s">
        <v>129</v>
      </c>
    </row>
    <row r="5" customFormat="false" ht="26.25" hidden="false" customHeight="true" outlineLevel="0" collapsed="false">
      <c r="A5" s="15" t="s">
        <v>57</v>
      </c>
      <c r="B5" s="15" t="s">
        <v>161</v>
      </c>
      <c r="C5" s="15" t="s">
        <v>162</v>
      </c>
      <c r="D5" s="15" t="s">
        <v>163</v>
      </c>
      <c r="E5" s="15" t="s">
        <v>135</v>
      </c>
      <c r="F5" s="15" t="s">
        <v>164</v>
      </c>
    </row>
    <row r="6" customFormat="false" ht="15" hidden="false" customHeight="true" outlineLevel="0" collapsed="false">
      <c r="A6" s="1" t="s">
        <v>165</v>
      </c>
      <c r="B6" s="16" t="n">
        <f aca="false">SUMIFS(Data_GL!$G:$G,Data_GL!$A:$A,$C$2,Data_GL!$B:$B,$C$3,Data_GL!$F:$F,"CC100",Data_GL!$E:$E,"OpEx")</f>
        <v>25887.28</v>
      </c>
      <c r="C6" s="12" t="n">
        <f aca="false">IF($B$11=0,0,B6/$B$11)*(SUMIFS(Data_Budget!$F:$F,Data_Budget!$A:$A,$C$2,Data_Budget!$B:$B,$C$3,Data_Budget!$E:$E,"OpEx"))</f>
        <v>33479.931532283</v>
      </c>
      <c r="D6" s="22" t="n">
        <f aca="false">IF($B$11=0,0,B6/$B$11)</f>
        <v>0.157676660421674</v>
      </c>
      <c r="E6" s="22" t="n">
        <f aca="false">IF(C6=0,0,(B6-C6)/C6)</f>
        <v>-0.22678217023717</v>
      </c>
      <c r="F6" s="1" t="str">
        <f aca="false">IF(E6&gt;0.15,"Over budget - discuss with cost center owner",IF(E6&lt;-0.15,"Under-spending - confirm on track",""))</f>
        <v>Under-spending - confirm on track</v>
      </c>
    </row>
    <row r="7" customFormat="false" ht="15" hidden="false" customHeight="true" outlineLevel="0" collapsed="false">
      <c r="A7" s="1" t="s">
        <v>166</v>
      </c>
      <c r="B7" s="16" t="n">
        <f aca="false">SUMIFS(Data_GL!$G:$G,Data_GL!$A:$A,$C$2,Data_GL!$B:$B,$C$3,Data_GL!$F:$F,"CC200",Data_GL!$E:$E,"OpEx")</f>
        <v>11578.1</v>
      </c>
      <c r="C7" s="12" t="n">
        <f aca="false">IF($B$11=0,0,B7/$B$11)*(SUMIFS(Data_Budget!$F:$F,Data_Budget!$A:$A,$C$2,Data_Budget!$B:$B,$C$3,Data_Budget!$E:$E,"OpEx"))</f>
        <v>14973.9175098321</v>
      </c>
      <c r="D7" s="22" t="n">
        <f aca="false">IF($B$11=0,0,B7/$B$11)</f>
        <v>0.0705209717679177</v>
      </c>
      <c r="E7" s="22" t="n">
        <f aca="false">IF(C7=0,0,(B7-C7)/C7)</f>
        <v>-0.22678217023717</v>
      </c>
      <c r="F7" s="1" t="str">
        <f aca="false">IF(E7&gt;0.15,"Over budget - discuss with cost center owner",IF(E7&lt;-0.15,"Under-spending - confirm on track",""))</f>
        <v>Under-spending - confirm on track</v>
      </c>
    </row>
    <row r="8" customFormat="false" ht="15" hidden="false" customHeight="true" outlineLevel="0" collapsed="false">
      <c r="A8" s="1" t="s">
        <v>167</v>
      </c>
      <c r="B8" s="16" t="n">
        <f aca="false">SUMIFS(Data_GL!$G:$G,Data_GL!$A:$A,$C$2,Data_GL!$B:$B,$C$3,Data_GL!$F:$F,"CC300",Data_GL!$E:$E,"OpEx")</f>
        <v>113317.43</v>
      </c>
      <c r="C8" s="12" t="n">
        <f aca="false">IF($B$11=0,0,B8/$B$11)*(SUMIFS(Data_Budget!$F:$F,Data_Budget!$A:$A,$C$2,Data_Budget!$B:$B,$C$3,Data_Budget!$E:$E,"OpEx"))</f>
        <v>146553.048362527</v>
      </c>
      <c r="D8" s="22" t="n">
        <f aca="false">IF($B$11=0,0,B8/$B$11)</f>
        <v>0.690204375661205</v>
      </c>
      <c r="E8" s="22" t="n">
        <f aca="false">IF(C8=0,0,(B8-C8)/C8)</f>
        <v>-0.22678217023717</v>
      </c>
      <c r="F8" s="1" t="str">
        <f aca="false">IF(E8&gt;0.15,"Over budget - discuss with cost center owner",IF(E8&lt;-0.15,"Under-spending - confirm on track",""))</f>
        <v>Under-spending - confirm on track</v>
      </c>
    </row>
    <row r="9" customFormat="false" ht="15" hidden="false" customHeight="true" outlineLevel="0" collapsed="false">
      <c r="A9" s="1" t="s">
        <v>168</v>
      </c>
      <c r="B9" s="16" t="n">
        <f aca="false">SUMIFS(Data_GL!$G:$G,Data_GL!$A:$A,$C$2,Data_GL!$B:$B,$C$3,Data_GL!$F:$F,"CC400",Data_GL!$E:$E,"OpEx")</f>
        <v>13396.72</v>
      </c>
      <c r="C9" s="12" t="n">
        <f aca="false">IF($B$11=0,0,B9/$B$11)*(SUMIFS(Data_Budget!$F:$F,Data_Budget!$A:$A,$C$2,Data_Budget!$B:$B,$C$3,Data_Budget!$E:$E,"OpEx"))</f>
        <v>17325.9325953583</v>
      </c>
      <c r="D9" s="22" t="n">
        <f aca="false">IF($B$11=0,0,B9/$B$11)</f>
        <v>0.081597992149204</v>
      </c>
      <c r="E9" s="22" t="n">
        <f aca="false">IF(C9=0,0,(B9-C9)/C9)</f>
        <v>-0.22678217023717</v>
      </c>
      <c r="F9" s="1" t="str">
        <f aca="false">IF(E9&gt;0.15,"Over budget - discuss with cost center owner",IF(E9&lt;-0.15,"Under-spending - confirm on track",""))</f>
        <v>Under-spending - confirm on track</v>
      </c>
    </row>
    <row r="10" customFormat="false" ht="15" hidden="false" customHeight="true" outlineLevel="0" collapsed="false">
      <c r="A10" s="1" t="s">
        <v>169</v>
      </c>
      <c r="B10" s="16" t="n">
        <f aca="false">SUMIFS(Data_GL!$G:$G,Data_GL!$A:$A,$C$2,Data_GL!$B:$B,$C$3,Data_GL!$F:$F,"UNALLOCATED",Data_GL!$E:$E,"OpEx")</f>
        <v>0</v>
      </c>
      <c r="C10" s="12" t="n">
        <f aca="false">IF($B$11=0,0,B10/$B$11)*(SUMIFS(Data_Budget!$F:$F,Data_Budget!$A:$A,$C$2,Data_Budget!$B:$B,$C$3,Data_Budget!$E:$E,"OpEx"))</f>
        <v>0</v>
      </c>
      <c r="D10" s="22" t="n">
        <f aca="false">IF($B$11=0,0,B10/$B$11)</f>
        <v>0</v>
      </c>
      <c r="E10" s="22" t="n">
        <f aca="false">IF(C10=0,0,(B10-C10)/C10)</f>
        <v>0</v>
      </c>
      <c r="F10" s="1" t="str">
        <f aca="false">IF(E10&gt;0.15,"Over budget - discuss with cost center owner",IF(E10&lt;-0.15,"Under-spending - confirm on track",""))</f>
        <v/>
      </c>
    </row>
    <row r="11" customFormat="false" ht="15" hidden="false" customHeight="true" outlineLevel="0" collapsed="false">
      <c r="A11" s="4" t="s">
        <v>170</v>
      </c>
      <c r="B11" s="23" t="n">
        <f aca="false">SUM(B6:B10)</f>
        <v>164179.53</v>
      </c>
    </row>
  </sheetData>
  <conditionalFormatting sqref="E6:E10">
    <cfRule type="cellIs" priority="2" operator="greaterThan" aboveAverage="0" equalAverage="0" bottom="0" percent="0" rank="0" text="" dxfId="1">
      <formula>0.15</formula>
    </cfRule>
    <cfRule type="cellIs" priority="3" operator="lessThan" aboveAverage="0" equalAverage="0" bottom="0" percent="0" rank="0" text="" dxfId="0">
      <formula>-0.15</formula>
    </cfRule>
  </conditionalFormatting>
  <dataValidations count="2">
    <dataValidation allowBlank="false" errorStyle="stop" operator="between" showDropDown="false" showErrorMessage="false" showInputMessage="false" sqref="C2" type="list">
      <formula1>"DE01,DE02,US01"</formula1>
      <formula2>0</formula2>
    </dataValidation>
    <dataValidation allowBlank="false" errorStyle="stop" operator="between" showDropDown="false" showErrorMessage="false" showInputMessage="false" sqref="C3" type="list">
      <formula1>"2025-01,2025-02,2025-03,2025-04,2025-05,2025-06,2025-07,2025-08,2025-09,2025-10,2025-11,2025-12"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2"/>
  </cols>
  <sheetData>
    <row r="2" customFormat="false" ht="17.25" hidden="false" customHeight="true" outlineLevel="0" collapsed="false">
      <c r="B2" s="28" t="s">
        <v>171</v>
      </c>
    </row>
    <row r="3" customFormat="false" ht="15" hidden="false" customHeight="true" outlineLevel="0" collapsed="false">
      <c r="B3" s="8" t="s">
        <v>172</v>
      </c>
    </row>
    <row r="5" customFormat="false" ht="26.25" hidden="false" customHeight="true" outlineLevel="0" collapsed="false">
      <c r="B5" s="15" t="s">
        <v>173</v>
      </c>
      <c r="C5" s="15" t="s">
        <v>174</v>
      </c>
      <c r="D5" s="15" t="s">
        <v>175</v>
      </c>
      <c r="E5" s="15" t="s">
        <v>176</v>
      </c>
      <c r="F5" s="15" t="s">
        <v>177</v>
      </c>
    </row>
    <row r="6" customFormat="false" ht="15" hidden="false" customHeight="true" outlineLevel="0" collapsed="false">
      <c r="B6" s="1" t="s">
        <v>178</v>
      </c>
      <c r="C6" s="1" t="s">
        <v>179</v>
      </c>
      <c r="D6" s="1" t="s">
        <v>180</v>
      </c>
      <c r="E6" s="29" t="s">
        <v>181</v>
      </c>
      <c r="F6" s="1" t="s">
        <v>182</v>
      </c>
    </row>
    <row r="7" customFormat="false" ht="15" hidden="false" customHeight="true" outlineLevel="0" collapsed="false">
      <c r="B7" s="1" t="s">
        <v>183</v>
      </c>
      <c r="C7" s="1" t="s">
        <v>184</v>
      </c>
      <c r="D7" s="1" t="s">
        <v>180</v>
      </c>
      <c r="E7" s="29" t="s">
        <v>181</v>
      </c>
      <c r="F7" s="1" t="s">
        <v>185</v>
      </c>
    </row>
    <row r="8" customFormat="false" ht="15" hidden="false" customHeight="true" outlineLevel="0" collapsed="false">
      <c r="B8" s="1" t="s">
        <v>186</v>
      </c>
      <c r="C8" s="1" t="s">
        <v>184</v>
      </c>
      <c r="D8" s="1" t="s">
        <v>187</v>
      </c>
      <c r="E8" s="29" t="s">
        <v>181</v>
      </c>
      <c r="F8" s="1" t="s">
        <v>188</v>
      </c>
    </row>
    <row r="9" customFormat="false" ht="15" hidden="false" customHeight="true" outlineLevel="0" collapsed="false">
      <c r="B9" s="1" t="s">
        <v>189</v>
      </c>
      <c r="C9" s="1" t="s">
        <v>190</v>
      </c>
      <c r="D9" s="1" t="s">
        <v>187</v>
      </c>
      <c r="E9" s="29" t="s">
        <v>191</v>
      </c>
      <c r="F9" s="1" t="s">
        <v>192</v>
      </c>
    </row>
    <row r="10" customFormat="false" ht="15" hidden="false" customHeight="true" outlineLevel="0" collapsed="false">
      <c r="B10" s="1" t="s">
        <v>193</v>
      </c>
      <c r="C10" s="1" t="s">
        <v>179</v>
      </c>
      <c r="D10" s="1" t="s">
        <v>194</v>
      </c>
      <c r="E10" s="29" t="s">
        <v>191</v>
      </c>
    </row>
    <row r="11" customFormat="false" ht="15" hidden="false" customHeight="true" outlineLevel="0" collapsed="false">
      <c r="B11" s="1" t="s">
        <v>195</v>
      </c>
      <c r="C11" s="1" t="s">
        <v>179</v>
      </c>
      <c r="D11" s="1" t="s">
        <v>194</v>
      </c>
      <c r="E11" s="29" t="s">
        <v>196</v>
      </c>
    </row>
    <row r="12" customFormat="false" ht="15" hidden="false" customHeight="true" outlineLevel="0" collapsed="false">
      <c r="B12" s="1" t="s">
        <v>197</v>
      </c>
      <c r="C12" s="1" t="s">
        <v>184</v>
      </c>
      <c r="D12" s="1" t="s">
        <v>198</v>
      </c>
      <c r="E12" s="29" t="s">
        <v>196</v>
      </c>
      <c r="F12" s="1" t="s">
        <v>199</v>
      </c>
    </row>
    <row r="13" customFormat="false" ht="15" hidden="false" customHeight="true" outlineLevel="0" collapsed="false">
      <c r="B13" s="1" t="s">
        <v>200</v>
      </c>
      <c r="C13" s="1" t="s">
        <v>184</v>
      </c>
      <c r="D13" s="1" t="s">
        <v>198</v>
      </c>
      <c r="E13" s="29" t="s">
        <v>196</v>
      </c>
    </row>
    <row r="14" customFormat="false" ht="15" hidden="false" customHeight="true" outlineLevel="0" collapsed="false">
      <c r="B14" s="1" t="s">
        <v>201</v>
      </c>
      <c r="C14" s="1" t="s">
        <v>184</v>
      </c>
      <c r="D14" s="1" t="s">
        <v>202</v>
      </c>
      <c r="E14" s="29" t="s">
        <v>196</v>
      </c>
      <c r="F14" s="1" t="s">
        <v>203</v>
      </c>
    </row>
    <row r="15" customFormat="false" ht="15" hidden="false" customHeight="true" outlineLevel="0" collapsed="false">
      <c r="B15" s="1" t="s">
        <v>204</v>
      </c>
      <c r="C15" s="1" t="s">
        <v>184</v>
      </c>
      <c r="D15" s="1" t="s">
        <v>202</v>
      </c>
      <c r="E15" s="29" t="s">
        <v>196</v>
      </c>
    </row>
    <row r="16" customFormat="false" ht="15" hidden="false" customHeight="true" outlineLevel="0" collapsed="false">
      <c r="B16" s="1" t="s">
        <v>205</v>
      </c>
      <c r="C16" s="1" t="s">
        <v>206</v>
      </c>
      <c r="D16" s="1" t="s">
        <v>207</v>
      </c>
      <c r="E16" s="29" t="s">
        <v>196</v>
      </c>
    </row>
    <row r="17" customFormat="false" ht="15" hidden="false" customHeight="true" outlineLevel="0" collapsed="false">
      <c r="B17" s="1" t="s">
        <v>208</v>
      </c>
      <c r="C17" s="1" t="s">
        <v>179</v>
      </c>
      <c r="D17" s="1" t="s">
        <v>207</v>
      </c>
      <c r="E17" s="29" t="s">
        <v>196</v>
      </c>
    </row>
    <row r="20" customFormat="false" ht="15" hidden="false" customHeight="true" outlineLevel="0" collapsed="false">
      <c r="B20" s="4" t="s">
        <v>209</v>
      </c>
    </row>
    <row r="21" customFormat="false" ht="15" hidden="false" customHeight="true" outlineLevel="0" collapsed="false">
      <c r="B21" s="30" t="s">
        <v>210</v>
      </c>
      <c r="C21" s="30" t="s">
        <v>211</v>
      </c>
      <c r="D21" s="30" t="s">
        <v>212</v>
      </c>
    </row>
    <row r="22" customFormat="false" ht="15" hidden="false" customHeight="true" outlineLevel="0" collapsed="false">
      <c r="B22" s="1" t="s">
        <v>213</v>
      </c>
      <c r="C22" s="1" t="s">
        <v>214</v>
      </c>
      <c r="D22" s="1" t="n">
        <v>1</v>
      </c>
    </row>
    <row r="23" customFormat="false" ht="15" hidden="false" customHeight="true" outlineLevel="0" collapsed="false">
      <c r="B23" s="1" t="s">
        <v>215</v>
      </c>
      <c r="C23" s="1" t="s">
        <v>216</v>
      </c>
      <c r="D23" s="1" t="n">
        <v>15</v>
      </c>
    </row>
    <row r="24" customFormat="false" ht="15" hidden="false" customHeight="true" outlineLevel="0" collapsed="false">
      <c r="B24" s="1" t="s">
        <v>217</v>
      </c>
      <c r="C24" s="1" t="s">
        <v>218</v>
      </c>
      <c r="D24" s="1" t="n">
        <v>108</v>
      </c>
    </row>
    <row r="25" customFormat="false" ht="15" hidden="false" customHeight="true" outlineLevel="0" collapsed="false">
      <c r="B25" s="1" t="s">
        <v>219</v>
      </c>
      <c r="C25" s="1" t="s">
        <v>220</v>
      </c>
      <c r="D25" s="1" t="n">
        <v>264</v>
      </c>
    </row>
  </sheetData>
  <conditionalFormatting sqref="E6:E17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2">
      <formula>"In Progress"</formula>
    </cfRule>
    <cfRule type="cellIs" priority="4" operator="equal" aboveAverage="0" equalAverage="0" bottom="0" percent="0" rank="0" text="" dxfId="1">
      <formula>"Blocked"</formula>
    </cfRule>
  </conditionalFormatting>
  <dataValidations count="1">
    <dataValidation allowBlank="false" errorStyle="stop" operator="between" showDropDown="false" showErrorMessage="false" showInputMessage="false" sqref="E6:E17" type="list">
      <formula1>"Not Started,In Progress,Complete,Blocked"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12"/>
  </cols>
  <sheetData>
    <row r="2" customFormat="false" ht="17.25" hidden="false" customHeight="true" outlineLevel="0" collapsed="false">
      <c r="B2" s="28" t="s">
        <v>221</v>
      </c>
    </row>
    <row r="3" customFormat="false" ht="15" hidden="false" customHeight="true" outlineLevel="0" collapsed="false">
      <c r="B3" s="8" t="s">
        <v>222</v>
      </c>
    </row>
    <row r="5" customFormat="false" ht="26.25" hidden="false" customHeight="true" outlineLevel="0" collapsed="false">
      <c r="B5" s="15" t="s">
        <v>223</v>
      </c>
      <c r="C5" s="15" t="s">
        <v>224</v>
      </c>
      <c r="D5" s="15" t="s">
        <v>174</v>
      </c>
      <c r="E5" s="15" t="s">
        <v>225</v>
      </c>
      <c r="F5" s="15" t="s">
        <v>176</v>
      </c>
    </row>
    <row r="6" customFormat="false" ht="15" hidden="false" customHeight="true" outlineLevel="0" collapsed="false">
      <c r="B6" s="1" t="s">
        <v>226</v>
      </c>
      <c r="C6" s="1" t="s">
        <v>227</v>
      </c>
      <c r="D6" s="1" t="s">
        <v>179</v>
      </c>
      <c r="E6" s="1" t="s">
        <v>228</v>
      </c>
      <c r="F6" s="1" t="s">
        <v>229</v>
      </c>
    </row>
    <row r="7" customFormat="false" ht="15" hidden="false" customHeight="true" outlineLevel="0" collapsed="false">
      <c r="B7" s="1" t="s">
        <v>230</v>
      </c>
      <c r="C7" s="1" t="s">
        <v>231</v>
      </c>
      <c r="D7" s="1" t="s">
        <v>179</v>
      </c>
      <c r="E7" s="1" t="s">
        <v>232</v>
      </c>
      <c r="F7" s="1" t="s">
        <v>229</v>
      </c>
    </row>
    <row r="8" customFormat="false" ht="15" hidden="false" customHeight="true" outlineLevel="0" collapsed="false">
      <c r="B8" s="1" t="s">
        <v>233</v>
      </c>
      <c r="C8" s="1" t="s">
        <v>234</v>
      </c>
      <c r="D8" s="1" t="s">
        <v>235</v>
      </c>
      <c r="E8" s="1" t="s">
        <v>236</v>
      </c>
      <c r="F8" s="1" t="s">
        <v>229</v>
      </c>
    </row>
    <row r="9" customFormat="false" ht="15" hidden="false" customHeight="true" outlineLevel="0" collapsed="false">
      <c r="B9" s="1" t="s">
        <v>237</v>
      </c>
      <c r="C9" s="1" t="s">
        <v>238</v>
      </c>
      <c r="D9" s="1" t="s">
        <v>239</v>
      </c>
      <c r="E9" s="1" t="s">
        <v>240</v>
      </c>
      <c r="F9" s="1" t="s">
        <v>229</v>
      </c>
    </row>
    <row r="10" customFormat="false" ht="15" hidden="false" customHeight="true" outlineLevel="0" collapsed="false">
      <c r="B10" s="1" t="s">
        <v>241</v>
      </c>
      <c r="C10" s="1" t="s">
        <v>231</v>
      </c>
      <c r="D10" s="1" t="s">
        <v>179</v>
      </c>
      <c r="E10" s="1" t="s">
        <v>242</v>
      </c>
      <c r="F10" s="1" t="s">
        <v>229</v>
      </c>
    </row>
    <row r="11" customFormat="false" ht="15" hidden="false" customHeight="true" outlineLevel="0" collapsed="false">
      <c r="B11" s="1" t="s">
        <v>243</v>
      </c>
      <c r="C11" s="1" t="s">
        <v>231</v>
      </c>
      <c r="D11" s="1" t="s">
        <v>179</v>
      </c>
      <c r="E11" s="1" t="s">
        <v>244</v>
      </c>
      <c r="F11" s="1" t="s">
        <v>229</v>
      </c>
    </row>
    <row r="12" customFormat="false" ht="15" hidden="false" customHeight="true" outlineLevel="0" collapsed="false">
      <c r="B12" s="1" t="s">
        <v>245</v>
      </c>
      <c r="C12" s="1" t="s">
        <v>231</v>
      </c>
      <c r="D12" s="1" t="s">
        <v>184</v>
      </c>
      <c r="E12" s="1" t="s">
        <v>242</v>
      </c>
      <c r="F12" s="1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7" min="5" style="1" width="14"/>
  </cols>
  <sheetData>
    <row r="1" customFormat="false" ht="15" hidden="false" customHeight="true" outlineLevel="0" collapsed="false">
      <c r="A1" s="31" t="s">
        <v>246</v>
      </c>
      <c r="B1" s="31" t="s">
        <v>7</v>
      </c>
      <c r="C1" s="31" t="s">
        <v>247</v>
      </c>
      <c r="D1" s="31" t="s">
        <v>248</v>
      </c>
      <c r="E1" s="31" t="s">
        <v>249</v>
      </c>
      <c r="F1" s="31" t="s">
        <v>250</v>
      </c>
      <c r="G1" s="31" t="s">
        <v>251</v>
      </c>
    </row>
    <row r="2" customFormat="false" ht="15" hidden="false" customHeight="true" outlineLevel="0" collapsed="false">
      <c r="A2" s="1" t="s">
        <v>65</v>
      </c>
      <c r="B2" s="1" t="s">
        <v>252</v>
      </c>
      <c r="C2" s="1" t="n">
        <v>4000</v>
      </c>
      <c r="D2" s="1" t="s">
        <v>253</v>
      </c>
      <c r="E2" s="1" t="s">
        <v>52</v>
      </c>
      <c r="F2" s="1" t="s">
        <v>254</v>
      </c>
      <c r="G2" s="1" t="n">
        <v>371697.5</v>
      </c>
    </row>
    <row r="3" customFormat="false" ht="15" hidden="false" customHeight="true" outlineLevel="0" collapsed="false">
      <c r="A3" s="1" t="s">
        <v>65</v>
      </c>
      <c r="B3" s="1" t="s">
        <v>252</v>
      </c>
      <c r="C3" s="1" t="n">
        <v>4010</v>
      </c>
      <c r="D3" s="1" t="s">
        <v>255</v>
      </c>
      <c r="E3" s="1" t="s">
        <v>52</v>
      </c>
      <c r="F3" s="1" t="s">
        <v>254</v>
      </c>
      <c r="G3" s="1" t="n">
        <v>159298.93</v>
      </c>
    </row>
    <row r="4" customFormat="false" ht="15" hidden="false" customHeight="true" outlineLevel="0" collapsed="false">
      <c r="A4" s="1" t="s">
        <v>65</v>
      </c>
      <c r="B4" s="1" t="s">
        <v>252</v>
      </c>
      <c r="C4" s="1" t="n">
        <v>5000</v>
      </c>
      <c r="D4" s="1" t="s">
        <v>256</v>
      </c>
      <c r="E4" s="1" t="s">
        <v>140</v>
      </c>
      <c r="F4" s="1" t="s">
        <v>257</v>
      </c>
      <c r="G4" s="1" t="n">
        <v>169918.86</v>
      </c>
    </row>
    <row r="5" customFormat="false" ht="15" hidden="false" customHeight="true" outlineLevel="0" collapsed="false">
      <c r="A5" s="1" t="s">
        <v>65</v>
      </c>
      <c r="B5" s="1" t="s">
        <v>252</v>
      </c>
      <c r="C5" s="1" t="n">
        <v>5010</v>
      </c>
      <c r="D5" s="1" t="s">
        <v>258</v>
      </c>
      <c r="E5" s="1" t="s">
        <v>140</v>
      </c>
      <c r="F5" s="1" t="s">
        <v>257</v>
      </c>
      <c r="G5" s="1" t="n">
        <v>31859.78</v>
      </c>
    </row>
    <row r="6" customFormat="false" ht="15" hidden="false" customHeight="true" outlineLevel="0" collapsed="false">
      <c r="A6" s="1" t="s">
        <v>65</v>
      </c>
      <c r="B6" s="1" t="s">
        <v>252</v>
      </c>
      <c r="C6" s="1" t="n">
        <v>6000</v>
      </c>
      <c r="D6" s="1" t="s">
        <v>259</v>
      </c>
      <c r="E6" s="1" t="s">
        <v>143</v>
      </c>
      <c r="F6" s="1" t="s">
        <v>260</v>
      </c>
      <c r="G6" s="1" t="n">
        <v>84372.08</v>
      </c>
    </row>
    <row r="7" customFormat="false" ht="15" hidden="false" customHeight="true" outlineLevel="0" collapsed="false">
      <c r="A7" s="1" t="s">
        <v>65</v>
      </c>
      <c r="B7" s="1" t="s">
        <v>252</v>
      </c>
      <c r="C7" s="1" t="n">
        <v>6010</v>
      </c>
      <c r="D7" s="1" t="s">
        <v>261</v>
      </c>
      <c r="E7" s="1" t="s">
        <v>143</v>
      </c>
      <c r="F7" s="1" t="s">
        <v>262</v>
      </c>
      <c r="G7" s="1" t="n">
        <v>27409.62</v>
      </c>
    </row>
    <row r="8" customFormat="false" ht="15" hidden="false" customHeight="true" outlineLevel="0" collapsed="false">
      <c r="A8" s="1" t="s">
        <v>65</v>
      </c>
      <c r="B8" s="1" t="s">
        <v>252</v>
      </c>
      <c r="C8" s="1" t="n">
        <v>6020</v>
      </c>
      <c r="D8" s="1" t="s">
        <v>263</v>
      </c>
      <c r="E8" s="1" t="s">
        <v>143</v>
      </c>
      <c r="F8" s="1" t="s">
        <v>264</v>
      </c>
      <c r="G8" s="1" t="n">
        <v>14285.81</v>
      </c>
    </row>
    <row r="9" customFormat="false" ht="15" hidden="false" customHeight="true" outlineLevel="0" collapsed="false">
      <c r="A9" s="1" t="s">
        <v>65</v>
      </c>
      <c r="B9" s="1" t="s">
        <v>252</v>
      </c>
      <c r="C9" s="1" t="n">
        <v>6030</v>
      </c>
      <c r="D9" s="1" t="s">
        <v>265</v>
      </c>
      <c r="E9" s="1" t="s">
        <v>143</v>
      </c>
      <c r="F9" s="1" t="s">
        <v>260</v>
      </c>
      <c r="G9" s="1" t="n">
        <v>10495.6</v>
      </c>
    </row>
    <row r="10" customFormat="false" ht="15" hidden="false" customHeight="true" outlineLevel="0" collapsed="false">
      <c r="A10" s="1" t="s">
        <v>65</v>
      </c>
      <c r="B10" s="1" t="s">
        <v>252</v>
      </c>
      <c r="C10" s="1" t="n">
        <v>6040</v>
      </c>
      <c r="D10" s="1" t="s">
        <v>266</v>
      </c>
      <c r="E10" s="1" t="s">
        <v>143</v>
      </c>
      <c r="F10" s="1" t="s">
        <v>260</v>
      </c>
      <c r="G10" s="1" t="n">
        <v>7871.7</v>
      </c>
    </row>
    <row r="11" customFormat="false" ht="15" hidden="false" customHeight="true" outlineLevel="0" collapsed="false">
      <c r="A11" s="1" t="s">
        <v>65</v>
      </c>
      <c r="B11" s="1" t="s">
        <v>252</v>
      </c>
      <c r="C11" s="1" t="n">
        <v>7000</v>
      </c>
      <c r="D11" s="1" t="s">
        <v>267</v>
      </c>
      <c r="E11" s="1" t="s">
        <v>143</v>
      </c>
      <c r="F11" s="1" t="s">
        <v>257</v>
      </c>
      <c r="G11" s="1" t="n">
        <v>11458.48</v>
      </c>
    </row>
    <row r="12" customFormat="false" ht="15" hidden="false" customHeight="true" outlineLevel="0" collapsed="false">
      <c r="A12" s="1" t="s">
        <v>65</v>
      </c>
      <c r="B12" s="1" t="s">
        <v>252</v>
      </c>
      <c r="C12" s="1" t="n">
        <v>8000</v>
      </c>
      <c r="D12" s="1" t="s">
        <v>268</v>
      </c>
      <c r="E12" s="1" t="s">
        <v>269</v>
      </c>
      <c r="F12" s="1" t="s">
        <v>254</v>
      </c>
      <c r="G12" s="1" t="n">
        <v>5309.97</v>
      </c>
    </row>
    <row r="13" customFormat="false" ht="15" hidden="false" customHeight="true" outlineLevel="0" collapsed="false">
      <c r="A13" s="1" t="s">
        <v>65</v>
      </c>
      <c r="B13" s="1" t="s">
        <v>270</v>
      </c>
      <c r="C13" s="1" t="n">
        <v>4000</v>
      </c>
      <c r="D13" s="1" t="s">
        <v>253</v>
      </c>
      <c r="E13" s="1" t="s">
        <v>52</v>
      </c>
      <c r="F13" s="1" t="s">
        <v>254</v>
      </c>
      <c r="G13" s="1" t="n">
        <v>390929.8</v>
      </c>
    </row>
    <row r="14" customFormat="false" ht="15" hidden="false" customHeight="true" outlineLevel="0" collapsed="false">
      <c r="A14" s="1" t="s">
        <v>65</v>
      </c>
      <c r="B14" s="1" t="s">
        <v>270</v>
      </c>
      <c r="C14" s="1" t="n">
        <v>4010</v>
      </c>
      <c r="D14" s="1" t="s">
        <v>255</v>
      </c>
      <c r="E14" s="1" t="s">
        <v>52</v>
      </c>
      <c r="F14" s="1" t="s">
        <v>254</v>
      </c>
      <c r="G14" s="1" t="n">
        <v>167541.34</v>
      </c>
    </row>
    <row r="15" customFormat="false" ht="15" hidden="false" customHeight="true" outlineLevel="0" collapsed="false">
      <c r="A15" s="1" t="s">
        <v>65</v>
      </c>
      <c r="B15" s="1" t="s">
        <v>270</v>
      </c>
      <c r="C15" s="1" t="n">
        <v>5000</v>
      </c>
      <c r="D15" s="1" t="s">
        <v>256</v>
      </c>
      <c r="E15" s="1" t="s">
        <v>140</v>
      </c>
      <c r="F15" s="1" t="s">
        <v>257</v>
      </c>
      <c r="G15" s="1" t="n">
        <v>178710.76</v>
      </c>
    </row>
    <row r="16" customFormat="false" ht="15" hidden="false" customHeight="true" outlineLevel="0" collapsed="false">
      <c r="A16" s="1" t="s">
        <v>65</v>
      </c>
      <c r="B16" s="1" t="s">
        <v>270</v>
      </c>
      <c r="C16" s="1" t="n">
        <v>5010</v>
      </c>
      <c r="D16" s="1" t="s">
        <v>258</v>
      </c>
      <c r="E16" s="1" t="s">
        <v>140</v>
      </c>
      <c r="F16" s="1" t="s">
        <v>257</v>
      </c>
      <c r="G16" s="1" t="n">
        <v>33508.26</v>
      </c>
    </row>
    <row r="17" customFormat="false" ht="15" hidden="false" customHeight="true" outlineLevel="0" collapsed="false">
      <c r="A17" s="1" t="s">
        <v>65</v>
      </c>
      <c r="B17" s="1" t="s">
        <v>270</v>
      </c>
      <c r="C17" s="1" t="n">
        <v>6000</v>
      </c>
      <c r="D17" s="1" t="s">
        <v>259</v>
      </c>
      <c r="E17" s="1" t="s">
        <v>143</v>
      </c>
      <c r="F17" s="1" t="s">
        <v>260</v>
      </c>
      <c r="G17" s="1" t="n">
        <v>87257.88</v>
      </c>
    </row>
    <row r="18" customFormat="false" ht="15" hidden="false" customHeight="true" outlineLevel="0" collapsed="false">
      <c r="A18" s="1" t="s">
        <v>65</v>
      </c>
      <c r="B18" s="1" t="s">
        <v>270</v>
      </c>
      <c r="C18" s="1" t="n">
        <v>6010</v>
      </c>
      <c r="D18" s="1" t="s">
        <v>261</v>
      </c>
      <c r="E18" s="1" t="s">
        <v>143</v>
      </c>
      <c r="F18" s="1" t="s">
        <v>262</v>
      </c>
      <c r="G18" s="1" t="n">
        <v>28681.06</v>
      </c>
    </row>
    <row r="19" customFormat="false" ht="15" hidden="false" customHeight="true" outlineLevel="0" collapsed="false">
      <c r="A19" s="1" t="s">
        <v>65</v>
      </c>
      <c r="B19" s="1" t="s">
        <v>270</v>
      </c>
      <c r="C19" s="1" t="n">
        <v>6020</v>
      </c>
      <c r="D19" s="1" t="s">
        <v>263</v>
      </c>
      <c r="E19" s="1" t="s">
        <v>143</v>
      </c>
      <c r="F19" s="1" t="s">
        <v>264</v>
      </c>
      <c r="G19" s="1" t="n">
        <v>13638.27</v>
      </c>
    </row>
    <row r="20" customFormat="false" ht="15" hidden="false" customHeight="true" outlineLevel="0" collapsed="false">
      <c r="A20" s="1" t="s">
        <v>65</v>
      </c>
      <c r="B20" s="1" t="s">
        <v>270</v>
      </c>
      <c r="C20" s="1" t="n">
        <v>6030</v>
      </c>
      <c r="D20" s="1" t="s">
        <v>265</v>
      </c>
      <c r="E20" s="1" t="s">
        <v>143</v>
      </c>
      <c r="F20" s="1" t="s">
        <v>260</v>
      </c>
      <c r="G20" s="1" t="n">
        <v>10909.33</v>
      </c>
    </row>
    <row r="21" customFormat="false" ht="15" hidden="false" customHeight="true" outlineLevel="0" collapsed="false">
      <c r="A21" s="1" t="s">
        <v>65</v>
      </c>
      <c r="B21" s="1" t="s">
        <v>270</v>
      </c>
      <c r="C21" s="1" t="n">
        <v>6040</v>
      </c>
      <c r="D21" s="1" t="s">
        <v>266</v>
      </c>
      <c r="E21" s="1" t="s">
        <v>143</v>
      </c>
      <c r="F21" s="1" t="s">
        <v>260</v>
      </c>
      <c r="G21" s="1" t="n">
        <v>8478.41</v>
      </c>
    </row>
    <row r="22" customFormat="false" ht="15" hidden="false" customHeight="true" outlineLevel="0" collapsed="false">
      <c r="A22" s="1" t="s">
        <v>65</v>
      </c>
      <c r="B22" s="1" t="s">
        <v>270</v>
      </c>
      <c r="C22" s="1" t="n">
        <v>7000</v>
      </c>
      <c r="D22" s="1" t="s">
        <v>267</v>
      </c>
      <c r="E22" s="1" t="s">
        <v>143</v>
      </c>
      <c r="F22" s="1" t="s">
        <v>257</v>
      </c>
      <c r="G22" s="1" t="n">
        <v>10100.92</v>
      </c>
    </row>
    <row r="23" customFormat="false" ht="15" hidden="false" customHeight="true" outlineLevel="0" collapsed="false">
      <c r="A23" s="1" t="s">
        <v>65</v>
      </c>
      <c r="B23" s="1" t="s">
        <v>270</v>
      </c>
      <c r="C23" s="1" t="n">
        <v>8000</v>
      </c>
      <c r="D23" s="1" t="s">
        <v>268</v>
      </c>
      <c r="E23" s="1" t="s">
        <v>269</v>
      </c>
      <c r="F23" s="1" t="s">
        <v>254</v>
      </c>
      <c r="G23" s="1" t="n">
        <v>5584.71</v>
      </c>
    </row>
    <row r="24" customFormat="false" ht="15" hidden="false" customHeight="true" outlineLevel="0" collapsed="false">
      <c r="A24" s="1" t="s">
        <v>65</v>
      </c>
      <c r="B24" s="1" t="s">
        <v>271</v>
      </c>
      <c r="C24" s="1" t="n">
        <v>4000</v>
      </c>
      <c r="D24" s="1" t="s">
        <v>253</v>
      </c>
      <c r="E24" s="1" t="s">
        <v>52</v>
      </c>
      <c r="F24" s="1" t="s">
        <v>254</v>
      </c>
      <c r="G24" s="1" t="n">
        <v>383100.69</v>
      </c>
    </row>
    <row r="25" customFormat="false" ht="15" hidden="false" customHeight="true" outlineLevel="0" collapsed="false">
      <c r="A25" s="1" t="s">
        <v>65</v>
      </c>
      <c r="B25" s="1" t="s">
        <v>271</v>
      </c>
      <c r="C25" s="1" t="n">
        <v>4010</v>
      </c>
      <c r="D25" s="1" t="s">
        <v>255</v>
      </c>
      <c r="E25" s="1" t="s">
        <v>52</v>
      </c>
      <c r="F25" s="1" t="s">
        <v>254</v>
      </c>
      <c r="G25" s="1" t="n">
        <v>164186</v>
      </c>
    </row>
    <row r="26" customFormat="false" ht="15" hidden="false" customHeight="true" outlineLevel="0" collapsed="false">
      <c r="A26" s="1" t="s">
        <v>65</v>
      </c>
      <c r="B26" s="1" t="s">
        <v>271</v>
      </c>
      <c r="C26" s="1" t="n">
        <v>5000</v>
      </c>
      <c r="D26" s="1" t="s">
        <v>256</v>
      </c>
      <c r="E26" s="1" t="s">
        <v>140</v>
      </c>
      <c r="F26" s="1" t="s">
        <v>257</v>
      </c>
      <c r="G26" s="1" t="n">
        <v>175131.74</v>
      </c>
    </row>
    <row r="27" customFormat="false" ht="15" hidden="false" customHeight="true" outlineLevel="0" collapsed="false">
      <c r="A27" s="1" t="s">
        <v>65</v>
      </c>
      <c r="B27" s="1" t="s">
        <v>271</v>
      </c>
      <c r="C27" s="1" t="n">
        <v>5010</v>
      </c>
      <c r="D27" s="1" t="s">
        <v>258</v>
      </c>
      <c r="E27" s="1" t="s">
        <v>140</v>
      </c>
      <c r="F27" s="1" t="s">
        <v>257</v>
      </c>
      <c r="G27" s="1" t="n">
        <v>32837.2</v>
      </c>
    </row>
    <row r="28" customFormat="false" ht="15" hidden="false" customHeight="true" outlineLevel="0" collapsed="false">
      <c r="A28" s="1" t="s">
        <v>65</v>
      </c>
      <c r="B28" s="1" t="s">
        <v>271</v>
      </c>
      <c r="C28" s="1" t="n">
        <v>6000</v>
      </c>
      <c r="D28" s="1" t="s">
        <v>259</v>
      </c>
      <c r="E28" s="1" t="s">
        <v>143</v>
      </c>
      <c r="F28" s="1" t="s">
        <v>260</v>
      </c>
      <c r="G28" s="1" t="n">
        <v>85104.01</v>
      </c>
    </row>
    <row r="29" customFormat="false" ht="15" hidden="false" customHeight="true" outlineLevel="0" collapsed="false">
      <c r="A29" s="1" t="s">
        <v>65</v>
      </c>
      <c r="B29" s="1" t="s">
        <v>271</v>
      </c>
      <c r="C29" s="1" t="n">
        <v>6010</v>
      </c>
      <c r="D29" s="1" t="s">
        <v>261</v>
      </c>
      <c r="E29" s="1" t="s">
        <v>143</v>
      </c>
      <c r="F29" s="1" t="s">
        <v>262</v>
      </c>
      <c r="G29" s="1" t="n">
        <v>25978.56</v>
      </c>
    </row>
    <row r="30" customFormat="false" ht="15" hidden="false" customHeight="true" outlineLevel="0" collapsed="false">
      <c r="A30" s="1" t="s">
        <v>65</v>
      </c>
      <c r="B30" s="1" t="s">
        <v>271</v>
      </c>
      <c r="C30" s="1" t="n">
        <v>6020</v>
      </c>
      <c r="D30" s="1" t="s">
        <v>263</v>
      </c>
      <c r="E30" s="1" t="s">
        <v>143</v>
      </c>
      <c r="F30" s="1" t="s">
        <v>264</v>
      </c>
      <c r="G30" s="1" t="n">
        <v>13897.15</v>
      </c>
    </row>
    <row r="31" customFormat="false" ht="15" hidden="false" customHeight="true" outlineLevel="0" collapsed="false">
      <c r="A31" s="1" t="s">
        <v>65</v>
      </c>
      <c r="B31" s="1" t="s">
        <v>271</v>
      </c>
      <c r="C31" s="1" t="n">
        <v>6030</v>
      </c>
      <c r="D31" s="1" t="s">
        <v>265</v>
      </c>
      <c r="E31" s="1" t="s">
        <v>143</v>
      </c>
      <c r="F31" s="1" t="s">
        <v>260</v>
      </c>
      <c r="G31" s="1" t="n">
        <v>10448.78</v>
      </c>
    </row>
    <row r="32" customFormat="false" ht="15" hidden="false" customHeight="true" outlineLevel="0" collapsed="false">
      <c r="A32" s="1" t="s">
        <v>65</v>
      </c>
      <c r="B32" s="1" t="s">
        <v>271</v>
      </c>
      <c r="C32" s="1" t="n">
        <v>6040</v>
      </c>
      <c r="D32" s="1" t="s">
        <v>266</v>
      </c>
      <c r="E32" s="1" t="s">
        <v>143</v>
      </c>
      <c r="F32" s="1" t="s">
        <v>260</v>
      </c>
      <c r="G32" s="1" t="n">
        <v>7629.6</v>
      </c>
    </row>
    <row r="33" customFormat="false" ht="15" hidden="false" customHeight="true" outlineLevel="0" collapsed="false">
      <c r="A33" s="1" t="s">
        <v>65</v>
      </c>
      <c r="B33" s="1" t="s">
        <v>271</v>
      </c>
      <c r="C33" s="1" t="n">
        <v>7000</v>
      </c>
      <c r="D33" s="1" t="s">
        <v>267</v>
      </c>
      <c r="E33" s="1" t="s">
        <v>143</v>
      </c>
      <c r="F33" s="1" t="s">
        <v>257</v>
      </c>
      <c r="G33" s="1" t="n">
        <v>11747.87</v>
      </c>
    </row>
    <row r="34" customFormat="false" ht="15" hidden="false" customHeight="true" outlineLevel="0" collapsed="false">
      <c r="A34" s="1" t="s">
        <v>65</v>
      </c>
      <c r="B34" s="1" t="s">
        <v>271</v>
      </c>
      <c r="C34" s="1" t="n">
        <v>8000</v>
      </c>
      <c r="D34" s="1" t="s">
        <v>268</v>
      </c>
      <c r="E34" s="1" t="s">
        <v>269</v>
      </c>
      <c r="F34" s="1" t="s">
        <v>254</v>
      </c>
      <c r="G34" s="1" t="n">
        <v>5472.87</v>
      </c>
    </row>
    <row r="35" customFormat="false" ht="15" hidden="false" customHeight="true" outlineLevel="0" collapsed="false">
      <c r="A35" s="1" t="s">
        <v>65</v>
      </c>
      <c r="B35" s="1" t="s">
        <v>272</v>
      </c>
      <c r="C35" s="1" t="n">
        <v>4000</v>
      </c>
      <c r="D35" s="1" t="s">
        <v>253</v>
      </c>
      <c r="E35" s="1" t="s">
        <v>52</v>
      </c>
      <c r="F35" s="1" t="s">
        <v>254</v>
      </c>
      <c r="G35" s="1" t="n">
        <v>403134.27</v>
      </c>
    </row>
    <row r="36" customFormat="false" ht="15" hidden="false" customHeight="true" outlineLevel="0" collapsed="false">
      <c r="A36" s="1" t="s">
        <v>65</v>
      </c>
      <c r="B36" s="1" t="s">
        <v>272</v>
      </c>
      <c r="C36" s="1" t="n">
        <v>4010</v>
      </c>
      <c r="D36" s="1" t="s">
        <v>255</v>
      </c>
      <c r="E36" s="1" t="s">
        <v>52</v>
      </c>
      <c r="F36" s="1" t="s">
        <v>254</v>
      </c>
      <c r="G36" s="1" t="n">
        <v>172771.83</v>
      </c>
    </row>
    <row r="37" customFormat="false" ht="15" hidden="false" customHeight="true" outlineLevel="0" collapsed="false">
      <c r="A37" s="1" t="s">
        <v>65</v>
      </c>
      <c r="B37" s="1" t="s">
        <v>272</v>
      </c>
      <c r="C37" s="1" t="n">
        <v>5000</v>
      </c>
      <c r="D37" s="1" t="s">
        <v>256</v>
      </c>
      <c r="E37" s="1" t="s">
        <v>140</v>
      </c>
      <c r="F37" s="1" t="s">
        <v>257</v>
      </c>
      <c r="G37" s="1" t="n">
        <v>184289.95</v>
      </c>
    </row>
    <row r="38" customFormat="false" ht="15" hidden="false" customHeight="true" outlineLevel="0" collapsed="false">
      <c r="A38" s="1" t="s">
        <v>65</v>
      </c>
      <c r="B38" s="1" t="s">
        <v>272</v>
      </c>
      <c r="C38" s="1" t="n">
        <v>5010</v>
      </c>
      <c r="D38" s="1" t="s">
        <v>258</v>
      </c>
      <c r="E38" s="1" t="s">
        <v>140</v>
      </c>
      <c r="F38" s="1" t="s">
        <v>257</v>
      </c>
      <c r="G38" s="1" t="n">
        <v>34554.37</v>
      </c>
    </row>
    <row r="39" customFormat="false" ht="15" hidden="false" customHeight="true" outlineLevel="0" collapsed="false">
      <c r="A39" s="1" t="s">
        <v>65</v>
      </c>
      <c r="B39" s="1" t="s">
        <v>272</v>
      </c>
      <c r="C39" s="1" t="n">
        <v>6000</v>
      </c>
      <c r="D39" s="1" t="s">
        <v>259</v>
      </c>
      <c r="E39" s="1" t="s">
        <v>143</v>
      </c>
      <c r="F39" s="1" t="s">
        <v>260</v>
      </c>
      <c r="G39" s="1" t="n">
        <v>92456.1</v>
      </c>
    </row>
    <row r="40" customFormat="false" ht="15" hidden="false" customHeight="true" outlineLevel="0" collapsed="false">
      <c r="A40" s="1" t="s">
        <v>65</v>
      </c>
      <c r="B40" s="1" t="s">
        <v>272</v>
      </c>
      <c r="C40" s="1" t="n">
        <v>6010</v>
      </c>
      <c r="D40" s="1" t="s">
        <v>261</v>
      </c>
      <c r="E40" s="1" t="s">
        <v>143</v>
      </c>
      <c r="F40" s="1" t="s">
        <v>262</v>
      </c>
      <c r="G40" s="1" t="n">
        <v>26744</v>
      </c>
    </row>
    <row r="41" customFormat="false" ht="15" hidden="false" customHeight="true" outlineLevel="0" collapsed="false">
      <c r="A41" s="1" t="s">
        <v>65</v>
      </c>
      <c r="B41" s="1" t="s">
        <v>272</v>
      </c>
      <c r="C41" s="1" t="n">
        <v>6020</v>
      </c>
      <c r="D41" s="1" t="s">
        <v>263</v>
      </c>
      <c r="E41" s="1" t="s">
        <v>143</v>
      </c>
      <c r="F41" s="1" t="s">
        <v>264</v>
      </c>
      <c r="G41" s="1" t="n">
        <v>14005.77</v>
      </c>
    </row>
    <row r="42" customFormat="false" ht="15" hidden="false" customHeight="true" outlineLevel="0" collapsed="false">
      <c r="A42" s="1" t="s">
        <v>65</v>
      </c>
      <c r="B42" s="1" t="s">
        <v>272</v>
      </c>
      <c r="C42" s="1" t="n">
        <v>6030</v>
      </c>
      <c r="D42" s="1" t="s">
        <v>265</v>
      </c>
      <c r="E42" s="1" t="s">
        <v>143</v>
      </c>
      <c r="F42" s="1" t="s">
        <v>260</v>
      </c>
      <c r="G42" s="1" t="n">
        <v>11582</v>
      </c>
    </row>
    <row r="43" customFormat="false" ht="15" hidden="false" customHeight="true" outlineLevel="0" collapsed="false">
      <c r="A43" s="1" t="s">
        <v>65</v>
      </c>
      <c r="B43" s="1" t="s">
        <v>272</v>
      </c>
      <c r="C43" s="1" t="n">
        <v>6040</v>
      </c>
      <c r="D43" s="1" t="s">
        <v>266</v>
      </c>
      <c r="E43" s="1" t="s">
        <v>143</v>
      </c>
      <c r="F43" s="1" t="s">
        <v>260</v>
      </c>
      <c r="G43" s="1" t="n">
        <v>8141.45</v>
      </c>
    </row>
    <row r="44" customFormat="false" ht="15" hidden="false" customHeight="true" outlineLevel="0" collapsed="false">
      <c r="A44" s="1" t="s">
        <v>65</v>
      </c>
      <c r="B44" s="1" t="s">
        <v>272</v>
      </c>
      <c r="C44" s="1" t="n">
        <v>7000</v>
      </c>
      <c r="D44" s="1" t="s">
        <v>267</v>
      </c>
      <c r="E44" s="1" t="s">
        <v>143</v>
      </c>
      <c r="F44" s="1" t="s">
        <v>257</v>
      </c>
      <c r="G44" s="1" t="n">
        <v>11734.49</v>
      </c>
    </row>
    <row r="45" customFormat="false" ht="15" hidden="false" customHeight="true" outlineLevel="0" collapsed="false">
      <c r="A45" s="1" t="s">
        <v>65</v>
      </c>
      <c r="B45" s="1" t="s">
        <v>272</v>
      </c>
      <c r="C45" s="1" t="n">
        <v>8000</v>
      </c>
      <c r="D45" s="1" t="s">
        <v>268</v>
      </c>
      <c r="E45" s="1" t="s">
        <v>269</v>
      </c>
      <c r="F45" s="1" t="s">
        <v>254</v>
      </c>
      <c r="G45" s="1" t="n">
        <v>5759.06</v>
      </c>
    </row>
    <row r="46" customFormat="false" ht="15" hidden="false" customHeight="true" outlineLevel="0" collapsed="false">
      <c r="A46" s="1" t="s">
        <v>65</v>
      </c>
      <c r="B46" s="1" t="s">
        <v>273</v>
      </c>
      <c r="C46" s="1" t="n">
        <v>4000</v>
      </c>
      <c r="D46" s="1" t="s">
        <v>253</v>
      </c>
      <c r="E46" s="1" t="s">
        <v>52</v>
      </c>
      <c r="F46" s="1" t="s">
        <v>254</v>
      </c>
      <c r="G46" s="1" t="n">
        <v>405702.79</v>
      </c>
    </row>
    <row r="47" customFormat="false" ht="15" hidden="false" customHeight="true" outlineLevel="0" collapsed="false">
      <c r="A47" s="1" t="s">
        <v>65</v>
      </c>
      <c r="B47" s="1" t="s">
        <v>273</v>
      </c>
      <c r="C47" s="1" t="n">
        <v>4010</v>
      </c>
      <c r="D47" s="1" t="s">
        <v>255</v>
      </c>
      <c r="E47" s="1" t="s">
        <v>52</v>
      </c>
      <c r="F47" s="1" t="s">
        <v>254</v>
      </c>
      <c r="G47" s="1" t="n">
        <v>173872.62</v>
      </c>
    </row>
    <row r="48" customFormat="false" ht="15" hidden="false" customHeight="true" outlineLevel="0" collapsed="false">
      <c r="A48" s="1" t="s">
        <v>65</v>
      </c>
      <c r="B48" s="1" t="s">
        <v>273</v>
      </c>
      <c r="C48" s="1" t="n">
        <v>5000</v>
      </c>
      <c r="D48" s="1" t="s">
        <v>256</v>
      </c>
      <c r="E48" s="1" t="s">
        <v>140</v>
      </c>
      <c r="F48" s="1" t="s">
        <v>257</v>
      </c>
      <c r="G48" s="1" t="n">
        <v>185464.13</v>
      </c>
    </row>
    <row r="49" customFormat="false" ht="15" hidden="false" customHeight="true" outlineLevel="0" collapsed="false">
      <c r="A49" s="1" t="s">
        <v>65</v>
      </c>
      <c r="B49" s="1" t="s">
        <v>273</v>
      </c>
      <c r="C49" s="1" t="n">
        <v>5010</v>
      </c>
      <c r="D49" s="1" t="s">
        <v>258</v>
      </c>
      <c r="E49" s="1" t="s">
        <v>140</v>
      </c>
      <c r="F49" s="1" t="s">
        <v>257</v>
      </c>
      <c r="G49" s="1" t="n">
        <v>34774.52</v>
      </c>
    </row>
    <row r="50" customFormat="false" ht="15" hidden="false" customHeight="true" outlineLevel="0" collapsed="false">
      <c r="A50" s="1" t="s">
        <v>65</v>
      </c>
      <c r="B50" s="1" t="s">
        <v>273</v>
      </c>
      <c r="C50" s="1" t="n">
        <v>6000</v>
      </c>
      <c r="D50" s="1" t="s">
        <v>259</v>
      </c>
      <c r="E50" s="1" t="s">
        <v>143</v>
      </c>
      <c r="F50" s="1" t="s">
        <v>260</v>
      </c>
      <c r="G50" s="1" t="n">
        <v>91379.6</v>
      </c>
    </row>
    <row r="51" customFormat="false" ht="15" hidden="false" customHeight="true" outlineLevel="0" collapsed="false">
      <c r="A51" s="1" t="s">
        <v>65</v>
      </c>
      <c r="B51" s="1" t="s">
        <v>273</v>
      </c>
      <c r="C51" s="1" t="n">
        <v>6010</v>
      </c>
      <c r="D51" s="1" t="s">
        <v>261</v>
      </c>
      <c r="E51" s="1" t="s">
        <v>143</v>
      </c>
      <c r="F51" s="1" t="s">
        <v>262</v>
      </c>
      <c r="G51" s="1" t="n">
        <v>28106.94</v>
      </c>
    </row>
    <row r="52" customFormat="false" ht="15" hidden="false" customHeight="true" outlineLevel="0" collapsed="false">
      <c r="A52" s="1" t="s">
        <v>65</v>
      </c>
      <c r="B52" s="1" t="s">
        <v>273</v>
      </c>
      <c r="C52" s="1" t="n">
        <v>6020</v>
      </c>
      <c r="D52" s="1" t="s">
        <v>263</v>
      </c>
      <c r="E52" s="1" t="s">
        <v>143</v>
      </c>
      <c r="F52" s="1" t="s">
        <v>264</v>
      </c>
      <c r="G52" s="1" t="n">
        <v>15831.3</v>
      </c>
    </row>
    <row r="53" customFormat="false" ht="15" hidden="false" customHeight="true" outlineLevel="0" collapsed="false">
      <c r="A53" s="1" t="s">
        <v>65</v>
      </c>
      <c r="B53" s="1" t="s">
        <v>273</v>
      </c>
      <c r="C53" s="1" t="n">
        <v>6030</v>
      </c>
      <c r="D53" s="1" t="s">
        <v>265</v>
      </c>
      <c r="E53" s="1" t="s">
        <v>143</v>
      </c>
      <c r="F53" s="1" t="s">
        <v>260</v>
      </c>
      <c r="G53" s="1" t="n">
        <v>11583.68</v>
      </c>
    </row>
    <row r="54" customFormat="false" ht="15" hidden="false" customHeight="true" outlineLevel="0" collapsed="false">
      <c r="A54" s="1" t="s">
        <v>65</v>
      </c>
      <c r="B54" s="1" t="s">
        <v>273</v>
      </c>
      <c r="C54" s="1" t="n">
        <v>6040</v>
      </c>
      <c r="D54" s="1" t="s">
        <v>266</v>
      </c>
      <c r="E54" s="1" t="s">
        <v>143</v>
      </c>
      <c r="F54" s="1" t="s">
        <v>260</v>
      </c>
      <c r="G54" s="1" t="n">
        <v>8233.87</v>
      </c>
    </row>
    <row r="55" customFormat="false" ht="15" hidden="false" customHeight="true" outlineLevel="0" collapsed="false">
      <c r="A55" s="1" t="s">
        <v>65</v>
      </c>
      <c r="B55" s="1" t="s">
        <v>273</v>
      </c>
      <c r="C55" s="1" t="n">
        <v>7000</v>
      </c>
      <c r="D55" s="1" t="s">
        <v>267</v>
      </c>
      <c r="E55" s="1" t="s">
        <v>143</v>
      </c>
      <c r="F55" s="1" t="s">
        <v>257</v>
      </c>
      <c r="G55" s="1" t="n">
        <v>12068.23</v>
      </c>
    </row>
    <row r="56" customFormat="false" ht="15" hidden="false" customHeight="true" outlineLevel="0" collapsed="false">
      <c r="A56" s="1" t="s">
        <v>65</v>
      </c>
      <c r="B56" s="1" t="s">
        <v>273</v>
      </c>
      <c r="C56" s="1" t="n">
        <v>8000</v>
      </c>
      <c r="D56" s="1" t="s">
        <v>268</v>
      </c>
      <c r="E56" s="1" t="s">
        <v>269</v>
      </c>
      <c r="F56" s="1" t="s">
        <v>254</v>
      </c>
      <c r="G56" s="1" t="n">
        <v>5795.76</v>
      </c>
    </row>
    <row r="57" customFormat="false" ht="15" hidden="false" customHeight="true" outlineLevel="0" collapsed="false">
      <c r="A57" s="1" t="s">
        <v>65</v>
      </c>
      <c r="B57" s="1" t="s">
        <v>129</v>
      </c>
      <c r="C57" s="1" t="n">
        <v>4000</v>
      </c>
      <c r="D57" s="1" t="s">
        <v>253</v>
      </c>
      <c r="E57" s="1" t="s">
        <v>52</v>
      </c>
      <c r="F57" s="1" t="s">
        <v>254</v>
      </c>
      <c r="G57" s="1" t="n">
        <v>401790.83</v>
      </c>
    </row>
    <row r="58" customFormat="false" ht="15" hidden="false" customHeight="true" outlineLevel="0" collapsed="false">
      <c r="A58" s="1" t="s">
        <v>65</v>
      </c>
      <c r="B58" s="1" t="s">
        <v>129</v>
      </c>
      <c r="C58" s="1" t="n">
        <v>4010</v>
      </c>
      <c r="D58" s="1" t="s">
        <v>255</v>
      </c>
      <c r="E58" s="1" t="s">
        <v>52</v>
      </c>
      <c r="F58" s="1" t="s">
        <v>254</v>
      </c>
      <c r="G58" s="1" t="n">
        <v>172196.07</v>
      </c>
    </row>
    <row r="59" customFormat="false" ht="15" hidden="false" customHeight="true" outlineLevel="0" collapsed="false">
      <c r="A59" s="1" t="s">
        <v>65</v>
      </c>
      <c r="B59" s="1" t="s">
        <v>129</v>
      </c>
      <c r="C59" s="1" t="n">
        <v>5000</v>
      </c>
      <c r="D59" s="1" t="s">
        <v>256</v>
      </c>
      <c r="E59" s="1" t="s">
        <v>140</v>
      </c>
      <c r="F59" s="1" t="s">
        <v>257</v>
      </c>
      <c r="G59" s="1" t="n">
        <v>183675.81</v>
      </c>
    </row>
    <row r="60" customFormat="false" ht="15" hidden="false" customHeight="true" outlineLevel="0" collapsed="false">
      <c r="A60" s="1" t="s">
        <v>65</v>
      </c>
      <c r="B60" s="1" t="s">
        <v>129</v>
      </c>
      <c r="C60" s="1" t="n">
        <v>5010</v>
      </c>
      <c r="D60" s="1" t="s">
        <v>258</v>
      </c>
      <c r="E60" s="1" t="s">
        <v>140</v>
      </c>
      <c r="F60" s="1" t="s">
        <v>257</v>
      </c>
      <c r="G60" s="1" t="n">
        <v>34439.22</v>
      </c>
    </row>
    <row r="61" customFormat="false" ht="15" hidden="false" customHeight="true" outlineLevel="0" collapsed="false">
      <c r="A61" s="1" t="s">
        <v>65</v>
      </c>
      <c r="B61" s="1" t="s">
        <v>129</v>
      </c>
      <c r="C61" s="1" t="n">
        <v>6000</v>
      </c>
      <c r="D61" s="1" t="s">
        <v>259</v>
      </c>
      <c r="E61" s="1" t="s">
        <v>143</v>
      </c>
      <c r="F61" s="1" t="s">
        <v>260</v>
      </c>
      <c r="G61" s="1" t="n">
        <v>92796.98</v>
      </c>
    </row>
    <row r="62" customFormat="false" ht="15" hidden="false" customHeight="true" outlineLevel="0" collapsed="false">
      <c r="A62" s="1" t="s">
        <v>65</v>
      </c>
      <c r="B62" s="1" t="s">
        <v>129</v>
      </c>
      <c r="C62" s="1" t="n">
        <v>6010</v>
      </c>
      <c r="D62" s="1" t="s">
        <v>261</v>
      </c>
      <c r="E62" s="1" t="s">
        <v>143</v>
      </c>
      <c r="F62" s="1" t="s">
        <v>262</v>
      </c>
      <c r="G62" s="1" t="n">
        <v>25887.28</v>
      </c>
    </row>
    <row r="63" customFormat="false" ht="15" hidden="false" customHeight="true" outlineLevel="0" collapsed="false">
      <c r="A63" s="1" t="s">
        <v>65</v>
      </c>
      <c r="B63" s="1" t="s">
        <v>129</v>
      </c>
      <c r="C63" s="1" t="n">
        <v>6020</v>
      </c>
      <c r="D63" s="1" t="s">
        <v>263</v>
      </c>
      <c r="E63" s="1" t="s">
        <v>143</v>
      </c>
      <c r="F63" s="1" t="s">
        <v>264</v>
      </c>
      <c r="G63" s="1" t="n">
        <v>13396.72</v>
      </c>
    </row>
    <row r="64" customFormat="false" ht="15" hidden="false" customHeight="true" outlineLevel="0" collapsed="false">
      <c r="A64" s="1" t="s">
        <v>65</v>
      </c>
      <c r="B64" s="1" t="s">
        <v>129</v>
      </c>
      <c r="C64" s="1" t="n">
        <v>6030</v>
      </c>
      <c r="D64" s="1" t="s">
        <v>265</v>
      </c>
      <c r="E64" s="1" t="s">
        <v>143</v>
      </c>
      <c r="F64" s="1" t="s">
        <v>260</v>
      </c>
      <c r="G64" s="1" t="n">
        <v>11592.74</v>
      </c>
    </row>
    <row r="65" customFormat="false" ht="15" hidden="false" customHeight="true" outlineLevel="0" collapsed="false">
      <c r="A65" s="1" t="s">
        <v>65</v>
      </c>
      <c r="B65" s="1" t="s">
        <v>129</v>
      </c>
      <c r="C65" s="1" t="n">
        <v>6040</v>
      </c>
      <c r="D65" s="1" t="s">
        <v>266</v>
      </c>
      <c r="E65" s="1" t="s">
        <v>143</v>
      </c>
      <c r="F65" s="1" t="s">
        <v>260</v>
      </c>
      <c r="G65" s="1" t="n">
        <v>8927.71</v>
      </c>
    </row>
    <row r="66" customFormat="false" ht="15" hidden="false" customHeight="true" outlineLevel="0" collapsed="false">
      <c r="A66" s="1" t="s">
        <v>65</v>
      </c>
      <c r="B66" s="1" t="s">
        <v>129</v>
      </c>
      <c r="C66" s="1" t="n">
        <v>7000</v>
      </c>
      <c r="D66" s="1" t="s">
        <v>267</v>
      </c>
      <c r="E66" s="1" t="s">
        <v>143</v>
      </c>
      <c r="F66" s="1" t="s">
        <v>257</v>
      </c>
      <c r="G66" s="1" t="n">
        <v>11578.1</v>
      </c>
    </row>
    <row r="67" customFormat="false" ht="15" hidden="false" customHeight="true" outlineLevel="0" collapsed="false">
      <c r="A67" s="1" t="s">
        <v>65</v>
      </c>
      <c r="B67" s="1" t="s">
        <v>129</v>
      </c>
      <c r="C67" s="1" t="n">
        <v>8000</v>
      </c>
      <c r="D67" s="1" t="s">
        <v>268</v>
      </c>
      <c r="E67" s="1" t="s">
        <v>269</v>
      </c>
      <c r="F67" s="1" t="s">
        <v>254</v>
      </c>
      <c r="G67" s="1" t="n">
        <v>5739.87</v>
      </c>
    </row>
    <row r="68" customFormat="false" ht="15" hidden="false" customHeight="true" outlineLevel="0" collapsed="false">
      <c r="A68" s="1" t="s">
        <v>65</v>
      </c>
      <c r="B68" s="1" t="s">
        <v>274</v>
      </c>
      <c r="C68" s="1" t="n">
        <v>4000</v>
      </c>
      <c r="D68" s="1" t="s">
        <v>253</v>
      </c>
      <c r="E68" s="1" t="s">
        <v>52</v>
      </c>
      <c r="F68" s="1" t="s">
        <v>254</v>
      </c>
      <c r="G68" s="1" t="n">
        <v>402323.41</v>
      </c>
    </row>
    <row r="69" customFormat="false" ht="15" hidden="false" customHeight="true" outlineLevel="0" collapsed="false">
      <c r="A69" s="1" t="s">
        <v>65</v>
      </c>
      <c r="B69" s="1" t="s">
        <v>274</v>
      </c>
      <c r="C69" s="1" t="n">
        <v>4010</v>
      </c>
      <c r="D69" s="1" t="s">
        <v>255</v>
      </c>
      <c r="E69" s="1" t="s">
        <v>52</v>
      </c>
      <c r="F69" s="1" t="s">
        <v>254</v>
      </c>
      <c r="G69" s="1" t="n">
        <v>172424.32</v>
      </c>
    </row>
    <row r="70" customFormat="false" ht="15" hidden="false" customHeight="true" outlineLevel="0" collapsed="false">
      <c r="A70" s="1" t="s">
        <v>65</v>
      </c>
      <c r="B70" s="1" t="s">
        <v>274</v>
      </c>
      <c r="C70" s="1" t="n">
        <v>5000</v>
      </c>
      <c r="D70" s="1" t="s">
        <v>256</v>
      </c>
      <c r="E70" s="1" t="s">
        <v>140</v>
      </c>
      <c r="F70" s="1" t="s">
        <v>257</v>
      </c>
      <c r="G70" s="1" t="n">
        <v>183919.28</v>
      </c>
    </row>
    <row r="71" customFormat="false" ht="15" hidden="false" customHeight="true" outlineLevel="0" collapsed="false">
      <c r="A71" s="1" t="s">
        <v>65</v>
      </c>
      <c r="B71" s="1" t="s">
        <v>274</v>
      </c>
      <c r="C71" s="1" t="n">
        <v>5010</v>
      </c>
      <c r="D71" s="1" t="s">
        <v>258</v>
      </c>
      <c r="E71" s="1" t="s">
        <v>140</v>
      </c>
      <c r="F71" s="1" t="s">
        <v>257</v>
      </c>
      <c r="G71" s="1" t="n">
        <v>34484.86</v>
      </c>
    </row>
    <row r="72" customFormat="false" ht="15" hidden="false" customHeight="true" outlineLevel="0" collapsed="false">
      <c r="A72" s="1" t="s">
        <v>65</v>
      </c>
      <c r="B72" s="1" t="s">
        <v>274</v>
      </c>
      <c r="C72" s="1" t="n">
        <v>6000</v>
      </c>
      <c r="D72" s="1" t="s">
        <v>259</v>
      </c>
      <c r="E72" s="1" t="s">
        <v>143</v>
      </c>
      <c r="F72" s="1" t="s">
        <v>260</v>
      </c>
      <c r="G72" s="1" t="n">
        <v>90575.17</v>
      </c>
    </row>
    <row r="73" customFormat="false" ht="15" hidden="false" customHeight="true" outlineLevel="0" collapsed="false">
      <c r="A73" s="1" t="s">
        <v>65</v>
      </c>
      <c r="B73" s="1" t="s">
        <v>274</v>
      </c>
      <c r="C73" s="1" t="n">
        <v>6010</v>
      </c>
      <c r="D73" s="1" t="s">
        <v>261</v>
      </c>
      <c r="E73" s="1" t="s">
        <v>143</v>
      </c>
      <c r="F73" s="1" t="s">
        <v>262</v>
      </c>
      <c r="G73" s="1" t="n">
        <v>26612.94</v>
      </c>
    </row>
    <row r="74" customFormat="false" ht="15" hidden="false" customHeight="true" outlineLevel="0" collapsed="false">
      <c r="A74" s="1" t="s">
        <v>65</v>
      </c>
      <c r="B74" s="1" t="s">
        <v>274</v>
      </c>
      <c r="C74" s="1" t="n">
        <v>6020</v>
      </c>
      <c r="D74" s="1" t="s">
        <v>263</v>
      </c>
      <c r="E74" s="1" t="s">
        <v>143</v>
      </c>
      <c r="F74" s="1" t="s">
        <v>264</v>
      </c>
      <c r="G74" s="1" t="n">
        <v>13851.53</v>
      </c>
    </row>
    <row r="75" customFormat="false" ht="15" hidden="false" customHeight="true" outlineLevel="0" collapsed="false">
      <c r="A75" s="1" t="s">
        <v>65</v>
      </c>
      <c r="B75" s="1" t="s">
        <v>274</v>
      </c>
      <c r="C75" s="1" t="n">
        <v>6030</v>
      </c>
      <c r="D75" s="1" t="s">
        <v>265</v>
      </c>
      <c r="E75" s="1" t="s">
        <v>143</v>
      </c>
      <c r="F75" s="1" t="s">
        <v>260</v>
      </c>
      <c r="G75" s="1" t="n">
        <v>11230.2</v>
      </c>
    </row>
    <row r="76" customFormat="false" ht="15" hidden="false" customHeight="true" outlineLevel="0" collapsed="false">
      <c r="A76" s="1" t="s">
        <v>65</v>
      </c>
      <c r="B76" s="1" t="s">
        <v>274</v>
      </c>
      <c r="C76" s="1" t="n">
        <v>6040</v>
      </c>
      <c r="D76" s="1" t="s">
        <v>266</v>
      </c>
      <c r="E76" s="1" t="s">
        <v>143</v>
      </c>
      <c r="F76" s="1" t="s">
        <v>260</v>
      </c>
      <c r="G76" s="1" t="n">
        <v>9076.9</v>
      </c>
    </row>
    <row r="77" customFormat="false" ht="15" hidden="false" customHeight="true" outlineLevel="0" collapsed="false">
      <c r="A77" s="1" t="s">
        <v>65</v>
      </c>
      <c r="B77" s="1" t="s">
        <v>274</v>
      </c>
      <c r="C77" s="1" t="n">
        <v>7000</v>
      </c>
      <c r="D77" s="1" t="s">
        <v>267</v>
      </c>
      <c r="E77" s="1" t="s">
        <v>143</v>
      </c>
      <c r="F77" s="1" t="s">
        <v>257</v>
      </c>
      <c r="G77" s="1" t="n">
        <v>11692.45</v>
      </c>
    </row>
    <row r="78" customFormat="false" ht="15" hidden="false" customHeight="true" outlineLevel="0" collapsed="false">
      <c r="A78" s="1" t="s">
        <v>65</v>
      </c>
      <c r="B78" s="1" t="s">
        <v>274</v>
      </c>
      <c r="C78" s="1" t="n">
        <v>8000</v>
      </c>
      <c r="D78" s="1" t="s">
        <v>268</v>
      </c>
      <c r="E78" s="1" t="s">
        <v>269</v>
      </c>
      <c r="F78" s="1" t="s">
        <v>254</v>
      </c>
      <c r="G78" s="1" t="n">
        <v>5747.48</v>
      </c>
    </row>
    <row r="79" customFormat="false" ht="15" hidden="false" customHeight="true" outlineLevel="0" collapsed="false">
      <c r="A79" s="1" t="s">
        <v>65</v>
      </c>
      <c r="B79" s="1" t="s">
        <v>275</v>
      </c>
      <c r="C79" s="1" t="n">
        <v>4000</v>
      </c>
      <c r="D79" s="1" t="s">
        <v>253</v>
      </c>
      <c r="E79" s="1" t="s">
        <v>52</v>
      </c>
      <c r="F79" s="1" t="s">
        <v>254</v>
      </c>
      <c r="G79" s="1" t="n">
        <v>368521.33</v>
      </c>
    </row>
    <row r="80" customFormat="false" ht="15" hidden="false" customHeight="true" outlineLevel="0" collapsed="false">
      <c r="A80" s="1" t="s">
        <v>65</v>
      </c>
      <c r="B80" s="1" t="s">
        <v>275</v>
      </c>
      <c r="C80" s="1" t="n">
        <v>4010</v>
      </c>
      <c r="D80" s="1" t="s">
        <v>255</v>
      </c>
      <c r="E80" s="1" t="s">
        <v>52</v>
      </c>
      <c r="F80" s="1" t="s">
        <v>254</v>
      </c>
      <c r="G80" s="1" t="n">
        <v>157937.71</v>
      </c>
    </row>
    <row r="81" customFormat="false" ht="15" hidden="false" customHeight="true" outlineLevel="0" collapsed="false">
      <c r="A81" s="1" t="s">
        <v>65</v>
      </c>
      <c r="B81" s="1" t="s">
        <v>275</v>
      </c>
      <c r="C81" s="1" t="n">
        <v>5000</v>
      </c>
      <c r="D81" s="1" t="s">
        <v>256</v>
      </c>
      <c r="E81" s="1" t="s">
        <v>140</v>
      </c>
      <c r="F81" s="1" t="s">
        <v>257</v>
      </c>
      <c r="G81" s="1" t="n">
        <v>168466.89</v>
      </c>
    </row>
    <row r="82" customFormat="false" ht="15" hidden="false" customHeight="true" outlineLevel="0" collapsed="false">
      <c r="A82" s="1" t="s">
        <v>65</v>
      </c>
      <c r="B82" s="1" t="s">
        <v>275</v>
      </c>
      <c r="C82" s="1" t="n">
        <v>5010</v>
      </c>
      <c r="D82" s="1" t="s">
        <v>258</v>
      </c>
      <c r="E82" s="1" t="s">
        <v>140</v>
      </c>
      <c r="F82" s="1" t="s">
        <v>257</v>
      </c>
      <c r="G82" s="1" t="n">
        <v>31587.54</v>
      </c>
    </row>
    <row r="83" customFormat="false" ht="15" hidden="false" customHeight="true" outlineLevel="0" collapsed="false">
      <c r="A83" s="1" t="s">
        <v>65</v>
      </c>
      <c r="B83" s="1" t="s">
        <v>275</v>
      </c>
      <c r="C83" s="1" t="n">
        <v>6000</v>
      </c>
      <c r="D83" s="1" t="s">
        <v>259</v>
      </c>
      <c r="E83" s="1" t="s">
        <v>143</v>
      </c>
      <c r="F83" s="1" t="s">
        <v>260</v>
      </c>
      <c r="G83" s="1" t="n">
        <v>85598.38</v>
      </c>
    </row>
    <row r="84" customFormat="false" ht="15" hidden="false" customHeight="true" outlineLevel="0" collapsed="false">
      <c r="A84" s="1" t="s">
        <v>65</v>
      </c>
      <c r="B84" s="1" t="s">
        <v>275</v>
      </c>
      <c r="C84" s="1" t="n">
        <v>6010</v>
      </c>
      <c r="D84" s="1" t="s">
        <v>261</v>
      </c>
      <c r="E84" s="1" t="s">
        <v>143</v>
      </c>
      <c r="F84" s="1" t="s">
        <v>262</v>
      </c>
      <c r="G84" s="1" t="n">
        <v>25816.13</v>
      </c>
    </row>
    <row r="85" customFormat="false" ht="15" hidden="false" customHeight="true" outlineLevel="0" collapsed="false">
      <c r="A85" s="1" t="s">
        <v>65</v>
      </c>
      <c r="B85" s="1" t="s">
        <v>275</v>
      </c>
      <c r="C85" s="1" t="n">
        <v>6020</v>
      </c>
      <c r="D85" s="1" t="s">
        <v>263</v>
      </c>
      <c r="E85" s="1" t="s">
        <v>143</v>
      </c>
      <c r="F85" s="1" t="s">
        <v>264</v>
      </c>
      <c r="G85" s="1" t="n">
        <v>12716.01</v>
      </c>
    </row>
    <row r="86" customFormat="false" ht="15" hidden="false" customHeight="true" outlineLevel="0" collapsed="false">
      <c r="A86" s="1" t="s">
        <v>65</v>
      </c>
      <c r="B86" s="1" t="s">
        <v>275</v>
      </c>
      <c r="C86" s="1" t="n">
        <v>6030</v>
      </c>
      <c r="D86" s="1" t="s">
        <v>265</v>
      </c>
      <c r="E86" s="1" t="s">
        <v>143</v>
      </c>
      <c r="F86" s="1" t="s">
        <v>260</v>
      </c>
      <c r="G86" s="1" t="n">
        <v>10851.2</v>
      </c>
    </row>
    <row r="87" customFormat="false" ht="15" hidden="false" customHeight="true" outlineLevel="0" collapsed="false">
      <c r="A87" s="1" t="s">
        <v>65</v>
      </c>
      <c r="B87" s="1" t="s">
        <v>275</v>
      </c>
      <c r="C87" s="1" t="n">
        <v>6040</v>
      </c>
      <c r="D87" s="1" t="s">
        <v>266</v>
      </c>
      <c r="E87" s="1" t="s">
        <v>143</v>
      </c>
      <c r="F87" s="1" t="s">
        <v>260</v>
      </c>
      <c r="G87" s="1" t="n">
        <v>8303.97</v>
      </c>
    </row>
    <row r="88" customFormat="false" ht="15" hidden="false" customHeight="true" outlineLevel="0" collapsed="false">
      <c r="A88" s="1" t="s">
        <v>65</v>
      </c>
      <c r="B88" s="1" t="s">
        <v>275</v>
      </c>
      <c r="C88" s="1" t="n">
        <v>7000</v>
      </c>
      <c r="D88" s="1" t="s">
        <v>267</v>
      </c>
      <c r="E88" s="1" t="s">
        <v>143</v>
      </c>
      <c r="F88" s="1" t="s">
        <v>257</v>
      </c>
      <c r="G88" s="1" t="n">
        <v>11019.47</v>
      </c>
    </row>
    <row r="89" customFormat="false" ht="15" hidden="false" customHeight="true" outlineLevel="0" collapsed="false">
      <c r="A89" s="1" t="s">
        <v>65</v>
      </c>
      <c r="B89" s="1" t="s">
        <v>275</v>
      </c>
      <c r="C89" s="1" t="n">
        <v>8000</v>
      </c>
      <c r="D89" s="1" t="s">
        <v>268</v>
      </c>
      <c r="E89" s="1" t="s">
        <v>269</v>
      </c>
      <c r="F89" s="1" t="s">
        <v>254</v>
      </c>
      <c r="G89" s="1" t="n">
        <v>5264.59</v>
      </c>
    </row>
    <row r="90" customFormat="false" ht="15" hidden="false" customHeight="true" outlineLevel="0" collapsed="false">
      <c r="A90" s="1" t="s">
        <v>65</v>
      </c>
      <c r="B90" s="1" t="s">
        <v>276</v>
      </c>
      <c r="C90" s="1" t="n">
        <v>4000</v>
      </c>
      <c r="D90" s="1" t="s">
        <v>253</v>
      </c>
      <c r="E90" s="1" t="s">
        <v>52</v>
      </c>
      <c r="F90" s="1" t="s">
        <v>254</v>
      </c>
      <c r="G90" s="1" t="n">
        <v>368145.89</v>
      </c>
    </row>
    <row r="91" customFormat="false" ht="15" hidden="false" customHeight="true" outlineLevel="0" collapsed="false">
      <c r="A91" s="1" t="s">
        <v>65</v>
      </c>
      <c r="B91" s="1" t="s">
        <v>276</v>
      </c>
      <c r="C91" s="1" t="n">
        <v>4010</v>
      </c>
      <c r="D91" s="1" t="s">
        <v>255</v>
      </c>
      <c r="E91" s="1" t="s">
        <v>52</v>
      </c>
      <c r="F91" s="1" t="s">
        <v>254</v>
      </c>
      <c r="G91" s="1" t="n">
        <v>157776.81</v>
      </c>
    </row>
    <row r="92" customFormat="false" ht="15" hidden="false" customHeight="true" outlineLevel="0" collapsed="false">
      <c r="A92" s="1" t="s">
        <v>65</v>
      </c>
      <c r="B92" s="1" t="s">
        <v>276</v>
      </c>
      <c r="C92" s="1" t="n">
        <v>5000</v>
      </c>
      <c r="D92" s="1" t="s">
        <v>256</v>
      </c>
      <c r="E92" s="1" t="s">
        <v>140</v>
      </c>
      <c r="F92" s="1" t="s">
        <v>257</v>
      </c>
      <c r="G92" s="1" t="n">
        <v>168295.26</v>
      </c>
    </row>
    <row r="93" customFormat="false" ht="15" hidden="false" customHeight="true" outlineLevel="0" collapsed="false">
      <c r="A93" s="1" t="s">
        <v>65</v>
      </c>
      <c r="B93" s="1" t="s">
        <v>276</v>
      </c>
      <c r="C93" s="1" t="n">
        <v>5010</v>
      </c>
      <c r="D93" s="1" t="s">
        <v>258</v>
      </c>
      <c r="E93" s="1" t="s">
        <v>140</v>
      </c>
      <c r="F93" s="1" t="s">
        <v>257</v>
      </c>
      <c r="G93" s="1" t="n">
        <v>31555.36</v>
      </c>
    </row>
    <row r="94" customFormat="false" ht="15" hidden="false" customHeight="true" outlineLevel="0" collapsed="false">
      <c r="A94" s="1" t="s">
        <v>65</v>
      </c>
      <c r="B94" s="1" t="s">
        <v>276</v>
      </c>
      <c r="C94" s="1" t="n">
        <v>6000</v>
      </c>
      <c r="D94" s="1" t="s">
        <v>259</v>
      </c>
      <c r="E94" s="1" t="s">
        <v>143</v>
      </c>
      <c r="F94" s="1" t="s">
        <v>260</v>
      </c>
      <c r="G94" s="1" t="n">
        <v>82846.65</v>
      </c>
    </row>
    <row r="95" customFormat="false" ht="15" hidden="false" customHeight="true" outlineLevel="0" collapsed="false">
      <c r="A95" s="1" t="s">
        <v>65</v>
      </c>
      <c r="B95" s="1" t="s">
        <v>276</v>
      </c>
      <c r="C95" s="1" t="n">
        <v>6010</v>
      </c>
      <c r="D95" s="1" t="s">
        <v>261</v>
      </c>
      <c r="E95" s="1" t="s">
        <v>143</v>
      </c>
      <c r="F95" s="1" t="s">
        <v>262</v>
      </c>
      <c r="G95" s="1" t="n">
        <v>26731.68</v>
      </c>
    </row>
    <row r="96" customFormat="false" ht="15" hidden="false" customHeight="true" outlineLevel="0" collapsed="false">
      <c r="A96" s="1" t="s">
        <v>65</v>
      </c>
      <c r="B96" s="1" t="s">
        <v>276</v>
      </c>
      <c r="C96" s="1" t="n">
        <v>6020</v>
      </c>
      <c r="D96" s="1" t="s">
        <v>263</v>
      </c>
      <c r="E96" s="1" t="s">
        <v>143</v>
      </c>
      <c r="F96" s="1" t="s">
        <v>264</v>
      </c>
      <c r="G96" s="1" t="n">
        <v>13789.39</v>
      </c>
    </row>
    <row r="97" customFormat="false" ht="15" hidden="false" customHeight="true" outlineLevel="0" collapsed="false">
      <c r="A97" s="1" t="s">
        <v>65</v>
      </c>
      <c r="B97" s="1" t="s">
        <v>276</v>
      </c>
      <c r="C97" s="1" t="n">
        <v>6030</v>
      </c>
      <c r="D97" s="1" t="s">
        <v>265</v>
      </c>
      <c r="E97" s="1" t="s">
        <v>143</v>
      </c>
      <c r="F97" s="1" t="s">
        <v>260</v>
      </c>
      <c r="G97" s="1" t="n">
        <v>10266.45</v>
      </c>
    </row>
    <row r="98" customFormat="false" ht="15" hidden="false" customHeight="true" outlineLevel="0" collapsed="false">
      <c r="A98" s="1" t="s">
        <v>65</v>
      </c>
      <c r="B98" s="1" t="s">
        <v>276</v>
      </c>
      <c r="C98" s="1" t="n">
        <v>6040</v>
      </c>
      <c r="D98" s="1" t="s">
        <v>266</v>
      </c>
      <c r="E98" s="1" t="s">
        <v>143</v>
      </c>
      <c r="F98" s="1" t="s">
        <v>260</v>
      </c>
      <c r="G98" s="1" t="n">
        <v>7815.61</v>
      </c>
    </row>
    <row r="99" customFormat="false" ht="15" hidden="false" customHeight="true" outlineLevel="0" collapsed="false">
      <c r="A99" s="1" t="s">
        <v>65</v>
      </c>
      <c r="B99" s="1" t="s">
        <v>276</v>
      </c>
      <c r="C99" s="1" t="n">
        <v>7000</v>
      </c>
      <c r="D99" s="1" t="s">
        <v>267</v>
      </c>
      <c r="E99" s="1" t="s">
        <v>143</v>
      </c>
      <c r="F99" s="1" t="s">
        <v>257</v>
      </c>
      <c r="G99" s="1" t="n">
        <v>9936.61</v>
      </c>
    </row>
    <row r="100" customFormat="false" ht="15" hidden="false" customHeight="true" outlineLevel="0" collapsed="false">
      <c r="A100" s="1" t="s">
        <v>65</v>
      </c>
      <c r="B100" s="1" t="s">
        <v>276</v>
      </c>
      <c r="C100" s="1" t="n">
        <v>8000</v>
      </c>
      <c r="D100" s="1" t="s">
        <v>268</v>
      </c>
      <c r="E100" s="1" t="s">
        <v>269</v>
      </c>
      <c r="F100" s="1" t="s">
        <v>254</v>
      </c>
      <c r="G100" s="1" t="n">
        <v>5259.23</v>
      </c>
    </row>
    <row r="101" customFormat="false" ht="15" hidden="false" customHeight="true" outlineLevel="0" collapsed="false">
      <c r="A101" s="1" t="s">
        <v>65</v>
      </c>
      <c r="B101" s="1" t="s">
        <v>277</v>
      </c>
      <c r="C101" s="1" t="n">
        <v>4000</v>
      </c>
      <c r="D101" s="1" t="s">
        <v>253</v>
      </c>
      <c r="E101" s="1" t="s">
        <v>52</v>
      </c>
      <c r="F101" s="1" t="s">
        <v>254</v>
      </c>
      <c r="G101" s="1" t="n">
        <v>368257.78</v>
      </c>
    </row>
    <row r="102" customFormat="false" ht="15" hidden="false" customHeight="true" outlineLevel="0" collapsed="false">
      <c r="A102" s="1" t="s">
        <v>65</v>
      </c>
      <c r="B102" s="1" t="s">
        <v>277</v>
      </c>
      <c r="C102" s="1" t="n">
        <v>4010</v>
      </c>
      <c r="D102" s="1" t="s">
        <v>255</v>
      </c>
      <c r="E102" s="1" t="s">
        <v>52</v>
      </c>
      <c r="F102" s="1" t="s">
        <v>254</v>
      </c>
      <c r="G102" s="1" t="n">
        <v>157824.76</v>
      </c>
    </row>
    <row r="103" customFormat="false" ht="15" hidden="false" customHeight="true" outlineLevel="0" collapsed="false">
      <c r="A103" s="1" t="s">
        <v>65</v>
      </c>
      <c r="B103" s="1" t="s">
        <v>277</v>
      </c>
      <c r="C103" s="1" t="n">
        <v>5000</v>
      </c>
      <c r="D103" s="1" t="s">
        <v>256</v>
      </c>
      <c r="E103" s="1" t="s">
        <v>140</v>
      </c>
      <c r="F103" s="1" t="s">
        <v>257</v>
      </c>
      <c r="G103" s="1" t="n">
        <v>168346.41</v>
      </c>
    </row>
    <row r="104" customFormat="false" ht="15" hidden="false" customHeight="true" outlineLevel="0" collapsed="false">
      <c r="A104" s="1" t="s">
        <v>65</v>
      </c>
      <c r="B104" s="1" t="s">
        <v>277</v>
      </c>
      <c r="C104" s="1" t="n">
        <v>5010</v>
      </c>
      <c r="D104" s="1" t="s">
        <v>258</v>
      </c>
      <c r="E104" s="1" t="s">
        <v>140</v>
      </c>
      <c r="F104" s="1" t="s">
        <v>257</v>
      </c>
      <c r="G104" s="1" t="n">
        <v>31564.95</v>
      </c>
    </row>
    <row r="105" customFormat="false" ht="15" hidden="false" customHeight="true" outlineLevel="0" collapsed="false">
      <c r="A105" s="1" t="s">
        <v>65</v>
      </c>
      <c r="B105" s="1" t="s">
        <v>277</v>
      </c>
      <c r="C105" s="1" t="n">
        <v>6000</v>
      </c>
      <c r="D105" s="1" t="s">
        <v>259</v>
      </c>
      <c r="E105" s="1" t="s">
        <v>143</v>
      </c>
      <c r="F105" s="1" t="s">
        <v>260</v>
      </c>
      <c r="G105" s="1" t="n">
        <v>87592.85</v>
      </c>
    </row>
    <row r="106" customFormat="false" ht="15" hidden="false" customHeight="true" outlineLevel="0" collapsed="false">
      <c r="A106" s="1" t="s">
        <v>65</v>
      </c>
      <c r="B106" s="1" t="s">
        <v>277</v>
      </c>
      <c r="C106" s="1" t="n">
        <v>6010</v>
      </c>
      <c r="D106" s="1" t="s">
        <v>261</v>
      </c>
      <c r="E106" s="1" t="s">
        <v>143</v>
      </c>
      <c r="F106" s="1" t="s">
        <v>262</v>
      </c>
      <c r="G106" s="1" t="n">
        <v>28087.86</v>
      </c>
    </row>
    <row r="107" customFormat="false" ht="15" hidden="false" customHeight="true" outlineLevel="0" collapsed="false">
      <c r="A107" s="1" t="s">
        <v>65</v>
      </c>
      <c r="B107" s="1" t="s">
        <v>277</v>
      </c>
      <c r="C107" s="1" t="n">
        <v>6020</v>
      </c>
      <c r="D107" s="1" t="s">
        <v>263</v>
      </c>
      <c r="E107" s="1" t="s">
        <v>143</v>
      </c>
      <c r="F107" s="1" t="s">
        <v>264</v>
      </c>
      <c r="G107" s="1" t="n">
        <v>13104.71</v>
      </c>
    </row>
    <row r="108" customFormat="false" ht="15" hidden="false" customHeight="true" outlineLevel="0" collapsed="false">
      <c r="A108" s="1" t="s">
        <v>65</v>
      </c>
      <c r="B108" s="1" t="s">
        <v>277</v>
      </c>
      <c r="C108" s="1" t="n">
        <v>6030</v>
      </c>
      <c r="D108" s="1" t="s">
        <v>265</v>
      </c>
      <c r="E108" s="1" t="s">
        <v>143</v>
      </c>
      <c r="F108" s="1" t="s">
        <v>260</v>
      </c>
      <c r="G108" s="1" t="n">
        <v>11049.59</v>
      </c>
    </row>
    <row r="109" customFormat="false" ht="15" hidden="false" customHeight="true" outlineLevel="0" collapsed="false">
      <c r="A109" s="1" t="s">
        <v>65</v>
      </c>
      <c r="B109" s="1" t="s">
        <v>277</v>
      </c>
      <c r="C109" s="1" t="n">
        <v>6040</v>
      </c>
      <c r="D109" s="1" t="s">
        <v>266</v>
      </c>
      <c r="E109" s="1" t="s">
        <v>143</v>
      </c>
      <c r="F109" s="1" t="s">
        <v>260</v>
      </c>
      <c r="G109" s="1" t="n">
        <v>8033.92</v>
      </c>
    </row>
    <row r="110" customFormat="false" ht="15" hidden="false" customHeight="true" outlineLevel="0" collapsed="false">
      <c r="A110" s="1" t="s">
        <v>65</v>
      </c>
      <c r="B110" s="1" t="s">
        <v>277</v>
      </c>
      <c r="C110" s="1" t="n">
        <v>7000</v>
      </c>
      <c r="D110" s="1" t="s">
        <v>267</v>
      </c>
      <c r="E110" s="1" t="s">
        <v>143</v>
      </c>
      <c r="F110" s="1" t="s">
        <v>257</v>
      </c>
      <c r="G110" s="1" t="n">
        <v>10182.27</v>
      </c>
    </row>
    <row r="111" customFormat="false" ht="15" hidden="false" customHeight="true" outlineLevel="0" collapsed="false">
      <c r="A111" s="1" t="s">
        <v>65</v>
      </c>
      <c r="B111" s="1" t="s">
        <v>277</v>
      </c>
      <c r="C111" s="1" t="n">
        <v>8000</v>
      </c>
      <c r="D111" s="1" t="s">
        <v>268</v>
      </c>
      <c r="E111" s="1" t="s">
        <v>269</v>
      </c>
      <c r="F111" s="1" t="s">
        <v>254</v>
      </c>
      <c r="G111" s="1" t="n">
        <v>5260.83</v>
      </c>
    </row>
    <row r="112" customFormat="false" ht="15" hidden="false" customHeight="true" outlineLevel="0" collapsed="false">
      <c r="A112" s="1" t="s">
        <v>65</v>
      </c>
      <c r="B112" s="1" t="s">
        <v>278</v>
      </c>
      <c r="C112" s="1" t="n">
        <v>4000</v>
      </c>
      <c r="D112" s="1" t="s">
        <v>253</v>
      </c>
      <c r="E112" s="1" t="s">
        <v>52</v>
      </c>
      <c r="F112" s="1" t="s">
        <v>254</v>
      </c>
      <c r="G112" s="1" t="n">
        <v>397041.73</v>
      </c>
    </row>
    <row r="113" customFormat="false" ht="15" hidden="false" customHeight="true" outlineLevel="0" collapsed="false">
      <c r="A113" s="1" t="s">
        <v>65</v>
      </c>
      <c r="B113" s="1" t="s">
        <v>278</v>
      </c>
      <c r="C113" s="1" t="n">
        <v>4010</v>
      </c>
      <c r="D113" s="1" t="s">
        <v>255</v>
      </c>
      <c r="E113" s="1" t="s">
        <v>52</v>
      </c>
      <c r="F113" s="1" t="s">
        <v>254</v>
      </c>
      <c r="G113" s="1" t="n">
        <v>170160.74</v>
      </c>
    </row>
    <row r="114" customFormat="false" ht="15" hidden="false" customHeight="true" outlineLevel="0" collapsed="false">
      <c r="A114" s="1" t="s">
        <v>65</v>
      </c>
      <c r="B114" s="1" t="s">
        <v>278</v>
      </c>
      <c r="C114" s="1" t="n">
        <v>5000</v>
      </c>
      <c r="D114" s="1" t="s">
        <v>256</v>
      </c>
      <c r="E114" s="1" t="s">
        <v>140</v>
      </c>
      <c r="F114" s="1" t="s">
        <v>257</v>
      </c>
      <c r="G114" s="1" t="n">
        <v>181504.8</v>
      </c>
    </row>
    <row r="115" customFormat="false" ht="15" hidden="false" customHeight="true" outlineLevel="0" collapsed="false">
      <c r="A115" s="1" t="s">
        <v>65</v>
      </c>
      <c r="B115" s="1" t="s">
        <v>278</v>
      </c>
      <c r="C115" s="1" t="n">
        <v>5010</v>
      </c>
      <c r="D115" s="1" t="s">
        <v>258</v>
      </c>
      <c r="E115" s="1" t="s">
        <v>140</v>
      </c>
      <c r="F115" s="1" t="s">
        <v>257</v>
      </c>
      <c r="G115" s="1" t="n">
        <v>34032.15</v>
      </c>
    </row>
    <row r="116" customFormat="false" ht="15" hidden="false" customHeight="true" outlineLevel="0" collapsed="false">
      <c r="A116" s="1" t="s">
        <v>65</v>
      </c>
      <c r="B116" s="1" t="s">
        <v>278</v>
      </c>
      <c r="C116" s="1" t="n">
        <v>6000</v>
      </c>
      <c r="D116" s="1" t="s">
        <v>259</v>
      </c>
      <c r="E116" s="1" t="s">
        <v>143</v>
      </c>
      <c r="F116" s="1" t="s">
        <v>260</v>
      </c>
      <c r="G116" s="1" t="n">
        <v>97731.43</v>
      </c>
    </row>
    <row r="117" customFormat="false" ht="15" hidden="false" customHeight="true" outlineLevel="0" collapsed="false">
      <c r="A117" s="1" t="s">
        <v>65</v>
      </c>
      <c r="B117" s="1" t="s">
        <v>278</v>
      </c>
      <c r="C117" s="1" t="n">
        <v>6010</v>
      </c>
      <c r="D117" s="1" t="s">
        <v>261</v>
      </c>
      <c r="E117" s="1" t="s">
        <v>143</v>
      </c>
      <c r="F117" s="1" t="s">
        <v>262</v>
      </c>
      <c r="G117" s="1" t="n">
        <v>28309.33</v>
      </c>
    </row>
    <row r="118" customFormat="false" ht="15" hidden="false" customHeight="true" outlineLevel="0" collapsed="false">
      <c r="A118" s="1" t="s">
        <v>65</v>
      </c>
      <c r="B118" s="1" t="s">
        <v>278</v>
      </c>
      <c r="C118" s="1" t="n">
        <v>6020</v>
      </c>
      <c r="D118" s="1" t="s">
        <v>263</v>
      </c>
      <c r="E118" s="1" t="s">
        <v>143</v>
      </c>
      <c r="F118" s="1" t="s">
        <v>264</v>
      </c>
      <c r="G118" s="1" t="n">
        <v>15289.4</v>
      </c>
    </row>
    <row r="119" customFormat="false" ht="15" hidden="false" customHeight="true" outlineLevel="0" collapsed="false">
      <c r="A119" s="1" t="s">
        <v>65</v>
      </c>
      <c r="B119" s="1" t="s">
        <v>278</v>
      </c>
      <c r="C119" s="1" t="n">
        <v>6030</v>
      </c>
      <c r="D119" s="1" t="s">
        <v>265</v>
      </c>
      <c r="E119" s="1" t="s">
        <v>143</v>
      </c>
      <c r="F119" s="1" t="s">
        <v>260</v>
      </c>
      <c r="G119" s="1" t="n">
        <v>9858.12</v>
      </c>
    </row>
    <row r="120" customFormat="false" ht="15" hidden="false" customHeight="true" outlineLevel="0" collapsed="false">
      <c r="A120" s="1" t="s">
        <v>65</v>
      </c>
      <c r="B120" s="1" t="s">
        <v>278</v>
      </c>
      <c r="C120" s="1" t="n">
        <v>6040</v>
      </c>
      <c r="D120" s="1" t="s">
        <v>266</v>
      </c>
      <c r="E120" s="1" t="s">
        <v>143</v>
      </c>
      <c r="F120" s="1" t="s">
        <v>260</v>
      </c>
      <c r="G120" s="1" t="n">
        <v>8857.67</v>
      </c>
    </row>
    <row r="121" customFormat="false" ht="15" hidden="false" customHeight="true" outlineLevel="0" collapsed="false">
      <c r="A121" s="1" t="s">
        <v>65</v>
      </c>
      <c r="B121" s="1" t="s">
        <v>278</v>
      </c>
      <c r="C121" s="1" t="n">
        <v>7000</v>
      </c>
      <c r="D121" s="1" t="s">
        <v>267</v>
      </c>
      <c r="E121" s="1" t="s">
        <v>143</v>
      </c>
      <c r="F121" s="1" t="s">
        <v>257</v>
      </c>
      <c r="G121" s="1" t="n">
        <v>11393.43</v>
      </c>
    </row>
    <row r="122" customFormat="false" ht="15" hidden="false" customHeight="true" outlineLevel="0" collapsed="false">
      <c r="A122" s="1" t="s">
        <v>65</v>
      </c>
      <c r="B122" s="1" t="s">
        <v>278</v>
      </c>
      <c r="C122" s="1" t="n">
        <v>8000</v>
      </c>
      <c r="D122" s="1" t="s">
        <v>268</v>
      </c>
      <c r="E122" s="1" t="s">
        <v>269</v>
      </c>
      <c r="F122" s="1" t="s">
        <v>254</v>
      </c>
      <c r="G122" s="1" t="n">
        <v>5672.03</v>
      </c>
    </row>
    <row r="123" customFormat="false" ht="15" hidden="false" customHeight="true" outlineLevel="0" collapsed="false">
      <c r="A123" s="1" t="s">
        <v>65</v>
      </c>
      <c r="B123" s="1" t="s">
        <v>279</v>
      </c>
      <c r="C123" s="1" t="n">
        <v>4000</v>
      </c>
      <c r="D123" s="1" t="s">
        <v>253</v>
      </c>
      <c r="E123" s="1" t="s">
        <v>52</v>
      </c>
      <c r="F123" s="1" t="s">
        <v>254</v>
      </c>
      <c r="G123" s="1" t="n">
        <v>406076.36</v>
      </c>
    </row>
    <row r="124" customFormat="false" ht="15" hidden="false" customHeight="true" outlineLevel="0" collapsed="false">
      <c r="A124" s="1" t="s">
        <v>65</v>
      </c>
      <c r="B124" s="1" t="s">
        <v>279</v>
      </c>
      <c r="C124" s="1" t="n">
        <v>4010</v>
      </c>
      <c r="D124" s="1" t="s">
        <v>255</v>
      </c>
      <c r="E124" s="1" t="s">
        <v>52</v>
      </c>
      <c r="F124" s="1" t="s">
        <v>254</v>
      </c>
      <c r="G124" s="1" t="n">
        <v>174032.73</v>
      </c>
    </row>
    <row r="125" customFormat="false" ht="15" hidden="false" customHeight="true" outlineLevel="0" collapsed="false">
      <c r="A125" s="1" t="s">
        <v>65</v>
      </c>
      <c r="B125" s="1" t="s">
        <v>279</v>
      </c>
      <c r="C125" s="1" t="n">
        <v>5000</v>
      </c>
      <c r="D125" s="1" t="s">
        <v>256</v>
      </c>
      <c r="E125" s="1" t="s">
        <v>140</v>
      </c>
      <c r="F125" s="1" t="s">
        <v>257</v>
      </c>
      <c r="G125" s="1" t="n">
        <v>185634.91</v>
      </c>
    </row>
    <row r="126" customFormat="false" ht="15" hidden="false" customHeight="true" outlineLevel="0" collapsed="false">
      <c r="A126" s="1" t="s">
        <v>65</v>
      </c>
      <c r="B126" s="1" t="s">
        <v>279</v>
      </c>
      <c r="C126" s="1" t="n">
        <v>5010</v>
      </c>
      <c r="D126" s="1" t="s">
        <v>258</v>
      </c>
      <c r="E126" s="1" t="s">
        <v>140</v>
      </c>
      <c r="F126" s="1" t="s">
        <v>257</v>
      </c>
      <c r="G126" s="1" t="n">
        <v>34806.55</v>
      </c>
    </row>
    <row r="127" customFormat="false" ht="15" hidden="false" customHeight="true" outlineLevel="0" collapsed="false">
      <c r="A127" s="1" t="s">
        <v>65</v>
      </c>
      <c r="B127" s="1" t="s">
        <v>279</v>
      </c>
      <c r="C127" s="1" t="n">
        <v>6000</v>
      </c>
      <c r="D127" s="1" t="s">
        <v>259</v>
      </c>
      <c r="E127" s="1" t="s">
        <v>143</v>
      </c>
      <c r="F127" s="1" t="s">
        <v>260</v>
      </c>
      <c r="G127" s="1" t="n">
        <v>93243.31</v>
      </c>
    </row>
    <row r="128" customFormat="false" ht="15" hidden="false" customHeight="true" outlineLevel="0" collapsed="false">
      <c r="A128" s="1" t="s">
        <v>65</v>
      </c>
      <c r="B128" s="1" t="s">
        <v>279</v>
      </c>
      <c r="C128" s="1" t="n">
        <v>6010</v>
      </c>
      <c r="D128" s="1" t="s">
        <v>261</v>
      </c>
      <c r="E128" s="1" t="s">
        <v>143</v>
      </c>
      <c r="F128" s="1" t="s">
        <v>262</v>
      </c>
      <c r="G128" s="1" t="n">
        <v>26122.94</v>
      </c>
    </row>
    <row r="129" customFormat="false" ht="15" hidden="false" customHeight="true" outlineLevel="0" collapsed="false">
      <c r="A129" s="1" t="s">
        <v>65</v>
      </c>
      <c r="B129" s="1" t="s">
        <v>279</v>
      </c>
      <c r="C129" s="1" t="n">
        <v>6020</v>
      </c>
      <c r="D129" s="1" t="s">
        <v>263</v>
      </c>
      <c r="E129" s="1" t="s">
        <v>143</v>
      </c>
      <c r="F129" s="1" t="s">
        <v>264</v>
      </c>
      <c r="G129" s="1" t="n">
        <v>14343.43</v>
      </c>
    </row>
    <row r="130" customFormat="false" ht="15" hidden="false" customHeight="true" outlineLevel="0" collapsed="false">
      <c r="A130" s="1" t="s">
        <v>65</v>
      </c>
      <c r="B130" s="1" t="s">
        <v>279</v>
      </c>
      <c r="C130" s="1" t="n">
        <v>6030</v>
      </c>
      <c r="D130" s="1" t="s">
        <v>265</v>
      </c>
      <c r="E130" s="1" t="s">
        <v>143</v>
      </c>
      <c r="F130" s="1" t="s">
        <v>260</v>
      </c>
      <c r="G130" s="1" t="n">
        <v>11809.35</v>
      </c>
    </row>
    <row r="131" customFormat="false" ht="15" hidden="false" customHeight="true" outlineLevel="0" collapsed="false">
      <c r="A131" s="1" t="s">
        <v>65</v>
      </c>
      <c r="B131" s="1" t="s">
        <v>279</v>
      </c>
      <c r="C131" s="1" t="n">
        <v>6040</v>
      </c>
      <c r="D131" s="1" t="s">
        <v>266</v>
      </c>
      <c r="E131" s="1" t="s">
        <v>143</v>
      </c>
      <c r="F131" s="1" t="s">
        <v>260</v>
      </c>
      <c r="G131" s="1" t="n">
        <v>9344.65</v>
      </c>
    </row>
    <row r="132" customFormat="false" ht="15" hidden="false" customHeight="true" outlineLevel="0" collapsed="false">
      <c r="A132" s="1" t="s">
        <v>65</v>
      </c>
      <c r="B132" s="1" t="s">
        <v>279</v>
      </c>
      <c r="C132" s="1" t="n">
        <v>7000</v>
      </c>
      <c r="D132" s="1" t="s">
        <v>267</v>
      </c>
      <c r="E132" s="1" t="s">
        <v>143</v>
      </c>
      <c r="F132" s="1" t="s">
        <v>257</v>
      </c>
      <c r="G132" s="1" t="n">
        <v>11301.53</v>
      </c>
    </row>
    <row r="133" customFormat="false" ht="15" hidden="false" customHeight="true" outlineLevel="0" collapsed="false">
      <c r="A133" s="1" t="s">
        <v>65</v>
      </c>
      <c r="B133" s="1" t="s">
        <v>279</v>
      </c>
      <c r="C133" s="1" t="n">
        <v>8000</v>
      </c>
      <c r="D133" s="1" t="s">
        <v>268</v>
      </c>
      <c r="E133" s="1" t="s">
        <v>269</v>
      </c>
      <c r="F133" s="1" t="s">
        <v>254</v>
      </c>
      <c r="G133" s="1" t="n">
        <v>5801.09</v>
      </c>
    </row>
    <row r="134" customFormat="false" ht="15" hidden="false" customHeight="true" outlineLevel="0" collapsed="false">
      <c r="A134" s="1" t="s">
        <v>280</v>
      </c>
      <c r="B134" s="1" t="s">
        <v>252</v>
      </c>
      <c r="C134" s="1" t="n">
        <v>4000</v>
      </c>
      <c r="D134" s="1" t="s">
        <v>253</v>
      </c>
      <c r="E134" s="1" t="s">
        <v>52</v>
      </c>
      <c r="F134" s="1" t="s">
        <v>254</v>
      </c>
      <c r="G134" s="1" t="n">
        <v>193568.33</v>
      </c>
    </row>
    <row r="135" customFormat="false" ht="15" hidden="false" customHeight="true" outlineLevel="0" collapsed="false">
      <c r="A135" s="1" t="s">
        <v>280</v>
      </c>
      <c r="B135" s="1" t="s">
        <v>252</v>
      </c>
      <c r="C135" s="1" t="n">
        <v>4010</v>
      </c>
      <c r="D135" s="1" t="s">
        <v>255</v>
      </c>
      <c r="E135" s="1" t="s">
        <v>52</v>
      </c>
      <c r="F135" s="1" t="s">
        <v>254</v>
      </c>
      <c r="G135" s="1" t="n">
        <v>82957.85</v>
      </c>
    </row>
    <row r="136" customFormat="false" ht="15" hidden="false" customHeight="true" outlineLevel="0" collapsed="false">
      <c r="A136" s="1" t="s">
        <v>280</v>
      </c>
      <c r="B136" s="1" t="s">
        <v>252</v>
      </c>
      <c r="C136" s="1" t="n">
        <v>5000</v>
      </c>
      <c r="D136" s="1" t="s">
        <v>256</v>
      </c>
      <c r="E136" s="1" t="s">
        <v>140</v>
      </c>
      <c r="F136" s="1" t="s">
        <v>257</v>
      </c>
      <c r="G136" s="1" t="n">
        <v>88488.38</v>
      </c>
    </row>
    <row r="137" customFormat="false" ht="15" hidden="false" customHeight="true" outlineLevel="0" collapsed="false">
      <c r="A137" s="1" t="s">
        <v>280</v>
      </c>
      <c r="B137" s="1" t="s">
        <v>252</v>
      </c>
      <c r="C137" s="1" t="n">
        <v>5010</v>
      </c>
      <c r="D137" s="1" t="s">
        <v>258</v>
      </c>
      <c r="E137" s="1" t="s">
        <v>140</v>
      </c>
      <c r="F137" s="1" t="s">
        <v>257</v>
      </c>
      <c r="G137" s="1" t="n">
        <v>16591.57</v>
      </c>
    </row>
    <row r="138" customFormat="false" ht="15" hidden="false" customHeight="true" outlineLevel="0" collapsed="false">
      <c r="A138" s="1" t="s">
        <v>280</v>
      </c>
      <c r="B138" s="1" t="s">
        <v>252</v>
      </c>
      <c r="C138" s="1" t="n">
        <v>6000</v>
      </c>
      <c r="D138" s="1" t="s">
        <v>259</v>
      </c>
      <c r="E138" s="1" t="s">
        <v>143</v>
      </c>
      <c r="F138" s="1" t="s">
        <v>260</v>
      </c>
      <c r="G138" s="1" t="n">
        <v>43134.2</v>
      </c>
    </row>
    <row r="139" customFormat="false" ht="15" hidden="false" customHeight="true" outlineLevel="0" collapsed="false">
      <c r="A139" s="1" t="s">
        <v>280</v>
      </c>
      <c r="B139" s="1" t="s">
        <v>252</v>
      </c>
      <c r="C139" s="1" t="n">
        <v>6010</v>
      </c>
      <c r="D139" s="1" t="s">
        <v>261</v>
      </c>
      <c r="E139" s="1" t="s">
        <v>143</v>
      </c>
      <c r="F139" s="1" t="s">
        <v>262</v>
      </c>
      <c r="G139" s="1" t="n">
        <v>14459.14</v>
      </c>
    </row>
    <row r="140" customFormat="false" ht="15" hidden="false" customHeight="true" outlineLevel="0" collapsed="false">
      <c r="A140" s="1" t="s">
        <v>280</v>
      </c>
      <c r="B140" s="1" t="s">
        <v>252</v>
      </c>
      <c r="C140" s="1" t="n">
        <v>6020</v>
      </c>
      <c r="D140" s="1" t="s">
        <v>263</v>
      </c>
      <c r="E140" s="1" t="s">
        <v>143</v>
      </c>
      <c r="F140" s="1" t="s">
        <v>264</v>
      </c>
      <c r="G140" s="1" t="n">
        <v>7026.79</v>
      </c>
    </row>
    <row r="141" customFormat="false" ht="15" hidden="false" customHeight="true" outlineLevel="0" collapsed="false">
      <c r="A141" s="1" t="s">
        <v>280</v>
      </c>
      <c r="B141" s="1" t="s">
        <v>252</v>
      </c>
      <c r="C141" s="1" t="n">
        <v>6030</v>
      </c>
      <c r="D141" s="1" t="s">
        <v>265</v>
      </c>
      <c r="E141" s="1" t="s">
        <v>143</v>
      </c>
      <c r="F141" s="1" t="s">
        <v>260</v>
      </c>
      <c r="G141" s="1" t="n">
        <v>5384.03</v>
      </c>
    </row>
    <row r="142" customFormat="false" ht="15" hidden="false" customHeight="true" outlineLevel="0" collapsed="false">
      <c r="A142" s="1" t="s">
        <v>280</v>
      </c>
      <c r="B142" s="1" t="s">
        <v>252</v>
      </c>
      <c r="C142" s="1" t="n">
        <v>6040</v>
      </c>
      <c r="D142" s="1" t="s">
        <v>266</v>
      </c>
      <c r="E142" s="1" t="s">
        <v>143</v>
      </c>
      <c r="F142" s="1" t="s">
        <v>260</v>
      </c>
      <c r="G142" s="1" t="n">
        <v>4254.35</v>
      </c>
    </row>
    <row r="143" customFormat="false" ht="15" hidden="false" customHeight="true" outlineLevel="0" collapsed="false">
      <c r="A143" s="1" t="s">
        <v>280</v>
      </c>
      <c r="B143" s="1" t="s">
        <v>252</v>
      </c>
      <c r="C143" s="1" t="n">
        <v>7000</v>
      </c>
      <c r="D143" s="1" t="s">
        <v>267</v>
      </c>
      <c r="E143" s="1" t="s">
        <v>143</v>
      </c>
      <c r="F143" s="1" t="s">
        <v>257</v>
      </c>
      <c r="G143" s="1" t="n">
        <v>5557.37</v>
      </c>
    </row>
    <row r="144" customFormat="false" ht="15" hidden="false" customHeight="true" outlineLevel="0" collapsed="false">
      <c r="A144" s="1" t="s">
        <v>280</v>
      </c>
      <c r="B144" s="1" t="s">
        <v>252</v>
      </c>
      <c r="C144" s="1" t="n">
        <v>8000</v>
      </c>
      <c r="D144" s="1" t="s">
        <v>268</v>
      </c>
      <c r="E144" s="1" t="s">
        <v>269</v>
      </c>
      <c r="F144" s="1" t="s">
        <v>254</v>
      </c>
      <c r="G144" s="1" t="n">
        <v>2765.26</v>
      </c>
    </row>
    <row r="145" customFormat="false" ht="15" hidden="false" customHeight="true" outlineLevel="0" collapsed="false">
      <c r="A145" s="1" t="s">
        <v>280</v>
      </c>
      <c r="B145" s="1" t="s">
        <v>270</v>
      </c>
      <c r="C145" s="1" t="n">
        <v>4000</v>
      </c>
      <c r="D145" s="1" t="s">
        <v>253</v>
      </c>
      <c r="E145" s="1" t="s">
        <v>52</v>
      </c>
      <c r="F145" s="1" t="s">
        <v>254</v>
      </c>
      <c r="G145" s="1" t="n">
        <v>212957.94</v>
      </c>
    </row>
    <row r="146" customFormat="false" ht="15" hidden="false" customHeight="true" outlineLevel="0" collapsed="false">
      <c r="A146" s="1" t="s">
        <v>280</v>
      </c>
      <c r="B146" s="1" t="s">
        <v>270</v>
      </c>
      <c r="C146" s="1" t="n">
        <v>4010</v>
      </c>
      <c r="D146" s="1" t="s">
        <v>255</v>
      </c>
      <c r="E146" s="1" t="s">
        <v>52</v>
      </c>
      <c r="F146" s="1" t="s">
        <v>254</v>
      </c>
      <c r="G146" s="1" t="n">
        <v>91267.69</v>
      </c>
    </row>
    <row r="147" customFormat="false" ht="15" hidden="false" customHeight="true" outlineLevel="0" collapsed="false">
      <c r="A147" s="1" t="s">
        <v>280</v>
      </c>
      <c r="B147" s="1" t="s">
        <v>270</v>
      </c>
      <c r="C147" s="1" t="n">
        <v>5000</v>
      </c>
      <c r="D147" s="1" t="s">
        <v>256</v>
      </c>
      <c r="E147" s="1" t="s">
        <v>140</v>
      </c>
      <c r="F147" s="1" t="s">
        <v>257</v>
      </c>
      <c r="G147" s="1" t="n">
        <v>97352.2</v>
      </c>
    </row>
    <row r="148" customFormat="false" ht="15" hidden="false" customHeight="true" outlineLevel="0" collapsed="false">
      <c r="A148" s="1" t="s">
        <v>280</v>
      </c>
      <c r="B148" s="1" t="s">
        <v>270</v>
      </c>
      <c r="C148" s="1" t="n">
        <v>5010</v>
      </c>
      <c r="D148" s="1" t="s">
        <v>258</v>
      </c>
      <c r="E148" s="1" t="s">
        <v>140</v>
      </c>
      <c r="F148" s="1" t="s">
        <v>257</v>
      </c>
      <c r="G148" s="1" t="n">
        <v>18253.53</v>
      </c>
    </row>
    <row r="149" customFormat="false" ht="15" hidden="false" customHeight="true" outlineLevel="0" collapsed="false">
      <c r="A149" s="1" t="s">
        <v>280</v>
      </c>
      <c r="B149" s="1" t="s">
        <v>270</v>
      </c>
      <c r="C149" s="1" t="n">
        <v>6000</v>
      </c>
      <c r="D149" s="1" t="s">
        <v>259</v>
      </c>
      <c r="E149" s="1" t="s">
        <v>143</v>
      </c>
      <c r="F149" s="1" t="s">
        <v>260</v>
      </c>
      <c r="G149" s="1" t="n">
        <v>46967.44</v>
      </c>
    </row>
    <row r="150" customFormat="false" ht="15" hidden="false" customHeight="true" outlineLevel="0" collapsed="false">
      <c r="A150" s="1" t="s">
        <v>280</v>
      </c>
      <c r="B150" s="1" t="s">
        <v>270</v>
      </c>
      <c r="C150" s="1" t="n">
        <v>6010</v>
      </c>
      <c r="D150" s="1" t="s">
        <v>261</v>
      </c>
      <c r="E150" s="1" t="s">
        <v>143</v>
      </c>
      <c r="F150" s="1" t="s">
        <v>262</v>
      </c>
      <c r="G150" s="1" t="n">
        <v>14962.07</v>
      </c>
    </row>
    <row r="151" customFormat="false" ht="15" hidden="false" customHeight="true" outlineLevel="0" collapsed="false">
      <c r="A151" s="1" t="s">
        <v>280</v>
      </c>
      <c r="B151" s="1" t="s">
        <v>270</v>
      </c>
      <c r="C151" s="1" t="n">
        <v>6020</v>
      </c>
      <c r="D151" s="1" t="s">
        <v>263</v>
      </c>
      <c r="E151" s="1" t="s">
        <v>143</v>
      </c>
      <c r="F151" s="1" t="s">
        <v>264</v>
      </c>
      <c r="G151" s="1" t="n">
        <v>7456.53</v>
      </c>
    </row>
    <row r="152" customFormat="false" ht="15" hidden="false" customHeight="true" outlineLevel="0" collapsed="false">
      <c r="A152" s="1" t="s">
        <v>280</v>
      </c>
      <c r="B152" s="1" t="s">
        <v>270</v>
      </c>
      <c r="C152" s="1" t="n">
        <v>6030</v>
      </c>
      <c r="D152" s="1" t="s">
        <v>265</v>
      </c>
      <c r="E152" s="1" t="s">
        <v>143</v>
      </c>
      <c r="F152" s="1" t="s">
        <v>260</v>
      </c>
      <c r="G152" s="1" t="n">
        <v>5639.27</v>
      </c>
    </row>
    <row r="153" customFormat="false" ht="15" hidden="false" customHeight="true" outlineLevel="0" collapsed="false">
      <c r="A153" s="1" t="s">
        <v>280</v>
      </c>
      <c r="B153" s="1" t="s">
        <v>270</v>
      </c>
      <c r="C153" s="1" t="n">
        <v>6040</v>
      </c>
      <c r="D153" s="1" t="s">
        <v>266</v>
      </c>
      <c r="E153" s="1" t="s">
        <v>143</v>
      </c>
      <c r="F153" s="1" t="s">
        <v>260</v>
      </c>
      <c r="G153" s="1" t="n">
        <v>4630.95</v>
      </c>
    </row>
    <row r="154" customFormat="false" ht="15" hidden="false" customHeight="true" outlineLevel="0" collapsed="false">
      <c r="A154" s="1" t="s">
        <v>280</v>
      </c>
      <c r="B154" s="1" t="s">
        <v>270</v>
      </c>
      <c r="C154" s="1" t="n">
        <v>7000</v>
      </c>
      <c r="D154" s="1" t="s">
        <v>267</v>
      </c>
      <c r="E154" s="1" t="s">
        <v>143</v>
      </c>
      <c r="F154" s="1" t="s">
        <v>257</v>
      </c>
      <c r="G154" s="1" t="n">
        <v>6163.93</v>
      </c>
    </row>
    <row r="155" customFormat="false" ht="15" hidden="false" customHeight="true" outlineLevel="0" collapsed="false">
      <c r="A155" s="1" t="s">
        <v>280</v>
      </c>
      <c r="B155" s="1" t="s">
        <v>270</v>
      </c>
      <c r="C155" s="1" t="n">
        <v>8000</v>
      </c>
      <c r="D155" s="1" t="s">
        <v>268</v>
      </c>
      <c r="E155" s="1" t="s">
        <v>269</v>
      </c>
      <c r="F155" s="1" t="s">
        <v>254</v>
      </c>
      <c r="G155" s="1" t="n">
        <v>3042.25</v>
      </c>
    </row>
    <row r="156" customFormat="false" ht="15" hidden="false" customHeight="true" outlineLevel="0" collapsed="false">
      <c r="A156" s="1" t="s">
        <v>280</v>
      </c>
      <c r="B156" s="1" t="s">
        <v>271</v>
      </c>
      <c r="C156" s="1" t="n">
        <v>4000</v>
      </c>
      <c r="D156" s="1" t="s">
        <v>253</v>
      </c>
      <c r="E156" s="1" t="s">
        <v>52</v>
      </c>
      <c r="F156" s="1" t="s">
        <v>254</v>
      </c>
      <c r="G156" s="1" t="n">
        <v>218117.86</v>
      </c>
    </row>
    <row r="157" customFormat="false" ht="15" hidden="false" customHeight="true" outlineLevel="0" collapsed="false">
      <c r="A157" s="1" t="s">
        <v>280</v>
      </c>
      <c r="B157" s="1" t="s">
        <v>271</v>
      </c>
      <c r="C157" s="1" t="n">
        <v>4010</v>
      </c>
      <c r="D157" s="1" t="s">
        <v>255</v>
      </c>
      <c r="E157" s="1" t="s">
        <v>52</v>
      </c>
      <c r="F157" s="1" t="s">
        <v>254</v>
      </c>
      <c r="G157" s="1" t="n">
        <v>93479.09</v>
      </c>
    </row>
    <row r="158" customFormat="false" ht="15" hidden="false" customHeight="true" outlineLevel="0" collapsed="false">
      <c r="A158" s="1" t="s">
        <v>280</v>
      </c>
      <c r="B158" s="1" t="s">
        <v>271</v>
      </c>
      <c r="C158" s="1" t="n">
        <v>5000</v>
      </c>
      <c r="D158" s="1" t="s">
        <v>256</v>
      </c>
      <c r="E158" s="1" t="s">
        <v>140</v>
      </c>
      <c r="F158" s="1" t="s">
        <v>257</v>
      </c>
      <c r="G158" s="1" t="n">
        <v>99711.02</v>
      </c>
    </row>
    <row r="159" customFormat="false" ht="15" hidden="false" customHeight="true" outlineLevel="0" collapsed="false">
      <c r="A159" s="1" t="s">
        <v>280</v>
      </c>
      <c r="B159" s="1" t="s">
        <v>271</v>
      </c>
      <c r="C159" s="1" t="n">
        <v>5010</v>
      </c>
      <c r="D159" s="1" t="s">
        <v>258</v>
      </c>
      <c r="E159" s="1" t="s">
        <v>140</v>
      </c>
      <c r="F159" s="1" t="s">
        <v>257</v>
      </c>
      <c r="G159" s="1" t="n">
        <v>18695.82</v>
      </c>
    </row>
    <row r="160" customFormat="false" ht="15" hidden="false" customHeight="true" outlineLevel="0" collapsed="false">
      <c r="A160" s="1" t="s">
        <v>280</v>
      </c>
      <c r="B160" s="1" t="s">
        <v>271</v>
      </c>
      <c r="C160" s="1" t="n">
        <v>6000</v>
      </c>
      <c r="D160" s="1" t="s">
        <v>259</v>
      </c>
      <c r="E160" s="1" t="s">
        <v>143</v>
      </c>
      <c r="F160" s="1" t="s">
        <v>260</v>
      </c>
      <c r="G160" s="1" t="n">
        <v>49270.74</v>
      </c>
    </row>
    <row r="161" customFormat="false" ht="15" hidden="false" customHeight="true" outlineLevel="0" collapsed="false">
      <c r="A161" s="1" t="s">
        <v>280</v>
      </c>
      <c r="B161" s="1" t="s">
        <v>271</v>
      </c>
      <c r="C161" s="1" t="n">
        <v>6010</v>
      </c>
      <c r="D161" s="1" t="s">
        <v>261</v>
      </c>
      <c r="E161" s="1" t="s">
        <v>143</v>
      </c>
      <c r="F161" s="1" t="s">
        <v>262</v>
      </c>
      <c r="G161" s="1" t="n">
        <v>14477.28</v>
      </c>
    </row>
    <row r="162" customFormat="false" ht="15" hidden="false" customHeight="true" outlineLevel="0" collapsed="false">
      <c r="A162" s="1" t="s">
        <v>280</v>
      </c>
      <c r="B162" s="1" t="s">
        <v>271</v>
      </c>
      <c r="C162" s="1" t="n">
        <v>6020</v>
      </c>
      <c r="D162" s="1" t="s">
        <v>263</v>
      </c>
      <c r="E162" s="1" t="s">
        <v>143</v>
      </c>
      <c r="F162" s="1" t="s">
        <v>264</v>
      </c>
      <c r="G162" s="1" t="n">
        <v>7626.09</v>
      </c>
    </row>
    <row r="163" customFormat="false" ht="15" hidden="false" customHeight="true" outlineLevel="0" collapsed="false">
      <c r="A163" s="1" t="s">
        <v>280</v>
      </c>
      <c r="B163" s="1" t="s">
        <v>271</v>
      </c>
      <c r="C163" s="1" t="n">
        <v>6030</v>
      </c>
      <c r="D163" s="1" t="s">
        <v>265</v>
      </c>
      <c r="E163" s="1" t="s">
        <v>143</v>
      </c>
      <c r="F163" s="1" t="s">
        <v>260</v>
      </c>
      <c r="G163" s="1" t="n">
        <v>6125.15</v>
      </c>
    </row>
    <row r="164" customFormat="false" ht="15" hidden="false" customHeight="true" outlineLevel="0" collapsed="false">
      <c r="A164" s="1" t="s">
        <v>280</v>
      </c>
      <c r="B164" s="1" t="s">
        <v>271</v>
      </c>
      <c r="C164" s="1" t="n">
        <v>6040</v>
      </c>
      <c r="D164" s="1" t="s">
        <v>266</v>
      </c>
      <c r="E164" s="1" t="s">
        <v>143</v>
      </c>
      <c r="F164" s="1" t="s">
        <v>260</v>
      </c>
      <c r="G164" s="1" t="n">
        <v>4486.46</v>
      </c>
    </row>
    <row r="165" customFormat="false" ht="15" hidden="false" customHeight="true" outlineLevel="0" collapsed="false">
      <c r="A165" s="1" t="s">
        <v>280</v>
      </c>
      <c r="B165" s="1" t="s">
        <v>271</v>
      </c>
      <c r="C165" s="1" t="n">
        <v>7000</v>
      </c>
      <c r="D165" s="1" t="s">
        <v>267</v>
      </c>
      <c r="E165" s="1" t="s">
        <v>143</v>
      </c>
      <c r="F165" s="1" t="s">
        <v>257</v>
      </c>
      <c r="G165" s="1" t="n">
        <v>6181.68</v>
      </c>
    </row>
    <row r="166" customFormat="false" ht="15" hidden="false" customHeight="true" outlineLevel="0" collapsed="false">
      <c r="A166" s="1" t="s">
        <v>280</v>
      </c>
      <c r="B166" s="1" t="s">
        <v>271</v>
      </c>
      <c r="C166" s="1" t="n">
        <v>8000</v>
      </c>
      <c r="D166" s="1" t="s">
        <v>268</v>
      </c>
      <c r="E166" s="1" t="s">
        <v>269</v>
      </c>
      <c r="F166" s="1" t="s">
        <v>254</v>
      </c>
      <c r="G166" s="1" t="n">
        <v>3115.97</v>
      </c>
    </row>
    <row r="167" customFormat="false" ht="15" hidden="false" customHeight="true" outlineLevel="0" collapsed="false">
      <c r="A167" s="1" t="s">
        <v>280</v>
      </c>
      <c r="B167" s="1" t="s">
        <v>272</v>
      </c>
      <c r="C167" s="1" t="n">
        <v>4000</v>
      </c>
      <c r="D167" s="1" t="s">
        <v>253</v>
      </c>
      <c r="E167" s="1" t="s">
        <v>52</v>
      </c>
      <c r="F167" s="1" t="s">
        <v>254</v>
      </c>
      <c r="G167" s="1" t="n">
        <v>222209.55</v>
      </c>
    </row>
    <row r="168" customFormat="false" ht="15" hidden="false" customHeight="true" outlineLevel="0" collapsed="false">
      <c r="A168" s="1" t="s">
        <v>280</v>
      </c>
      <c r="B168" s="1" t="s">
        <v>272</v>
      </c>
      <c r="C168" s="1" t="n">
        <v>4010</v>
      </c>
      <c r="D168" s="1" t="s">
        <v>255</v>
      </c>
      <c r="E168" s="1" t="s">
        <v>52</v>
      </c>
      <c r="F168" s="1" t="s">
        <v>254</v>
      </c>
      <c r="G168" s="1" t="n">
        <v>95232.66</v>
      </c>
    </row>
    <row r="169" customFormat="false" ht="15" hidden="false" customHeight="true" outlineLevel="0" collapsed="false">
      <c r="A169" s="1" t="s">
        <v>280</v>
      </c>
      <c r="B169" s="1" t="s">
        <v>272</v>
      </c>
      <c r="C169" s="1" t="n">
        <v>5000</v>
      </c>
      <c r="D169" s="1" t="s">
        <v>256</v>
      </c>
      <c r="E169" s="1" t="s">
        <v>140</v>
      </c>
      <c r="F169" s="1" t="s">
        <v>257</v>
      </c>
      <c r="G169" s="1" t="n">
        <v>101581.51</v>
      </c>
    </row>
    <row r="170" customFormat="false" ht="15" hidden="false" customHeight="true" outlineLevel="0" collapsed="false">
      <c r="A170" s="1" t="s">
        <v>280</v>
      </c>
      <c r="B170" s="1" t="s">
        <v>272</v>
      </c>
      <c r="C170" s="1" t="n">
        <v>5010</v>
      </c>
      <c r="D170" s="1" t="s">
        <v>258</v>
      </c>
      <c r="E170" s="1" t="s">
        <v>140</v>
      </c>
      <c r="F170" s="1" t="s">
        <v>257</v>
      </c>
      <c r="G170" s="1" t="n">
        <v>19046.53</v>
      </c>
    </row>
    <row r="171" customFormat="false" ht="15" hidden="false" customHeight="true" outlineLevel="0" collapsed="false">
      <c r="A171" s="1" t="s">
        <v>280</v>
      </c>
      <c r="B171" s="1" t="s">
        <v>272</v>
      </c>
      <c r="C171" s="1" t="n">
        <v>6000</v>
      </c>
      <c r="D171" s="1" t="s">
        <v>259</v>
      </c>
      <c r="E171" s="1" t="s">
        <v>143</v>
      </c>
      <c r="F171" s="1" t="s">
        <v>260</v>
      </c>
      <c r="G171" s="1" t="n">
        <v>55580.8</v>
      </c>
    </row>
    <row r="172" customFormat="false" ht="15" hidden="false" customHeight="true" outlineLevel="0" collapsed="false">
      <c r="A172" s="1" t="s">
        <v>280</v>
      </c>
      <c r="B172" s="1" t="s">
        <v>272</v>
      </c>
      <c r="C172" s="1" t="n">
        <v>6010</v>
      </c>
      <c r="D172" s="1" t="s">
        <v>261</v>
      </c>
      <c r="E172" s="1" t="s">
        <v>143</v>
      </c>
      <c r="F172" s="1" t="s">
        <v>262</v>
      </c>
      <c r="G172" s="1" t="n">
        <v>16010.66</v>
      </c>
    </row>
    <row r="173" customFormat="false" ht="15" hidden="false" customHeight="true" outlineLevel="0" collapsed="false">
      <c r="A173" s="1" t="s">
        <v>280</v>
      </c>
      <c r="B173" s="1" t="s">
        <v>272</v>
      </c>
      <c r="C173" s="1" t="n">
        <v>6020</v>
      </c>
      <c r="D173" s="1" t="s">
        <v>263</v>
      </c>
      <c r="E173" s="1" t="s">
        <v>143</v>
      </c>
      <c r="F173" s="1" t="s">
        <v>264</v>
      </c>
      <c r="G173" s="1" t="n">
        <v>8038.26</v>
      </c>
    </row>
    <row r="174" customFormat="false" ht="15" hidden="false" customHeight="true" outlineLevel="0" collapsed="false">
      <c r="A174" s="1" t="s">
        <v>280</v>
      </c>
      <c r="B174" s="1" t="s">
        <v>272</v>
      </c>
      <c r="C174" s="1" t="n">
        <v>6030</v>
      </c>
      <c r="D174" s="1" t="s">
        <v>265</v>
      </c>
      <c r="E174" s="1" t="s">
        <v>143</v>
      </c>
      <c r="F174" s="1" t="s">
        <v>260</v>
      </c>
      <c r="G174" s="1" t="n">
        <v>6325.21</v>
      </c>
    </row>
    <row r="175" customFormat="false" ht="15" hidden="false" customHeight="true" outlineLevel="0" collapsed="false">
      <c r="A175" s="1" t="s">
        <v>280</v>
      </c>
      <c r="B175" s="1" t="s">
        <v>272</v>
      </c>
      <c r="C175" s="1" t="n">
        <v>6040</v>
      </c>
      <c r="D175" s="1" t="s">
        <v>266</v>
      </c>
      <c r="E175" s="1" t="s">
        <v>143</v>
      </c>
      <c r="F175" s="1" t="s">
        <v>260</v>
      </c>
      <c r="G175" s="1" t="n">
        <v>4304.81</v>
      </c>
    </row>
    <row r="176" customFormat="false" ht="15" hidden="false" customHeight="true" outlineLevel="0" collapsed="false">
      <c r="A176" s="1" t="s">
        <v>280</v>
      </c>
      <c r="B176" s="1" t="s">
        <v>272</v>
      </c>
      <c r="C176" s="1" t="n">
        <v>7000</v>
      </c>
      <c r="D176" s="1" t="s">
        <v>267</v>
      </c>
      <c r="E176" s="1" t="s">
        <v>143</v>
      </c>
      <c r="F176" s="1" t="s">
        <v>257</v>
      </c>
      <c r="G176" s="1" t="n">
        <v>6340.42</v>
      </c>
    </row>
    <row r="177" customFormat="false" ht="15" hidden="false" customHeight="true" outlineLevel="0" collapsed="false">
      <c r="A177" s="1" t="s">
        <v>280</v>
      </c>
      <c r="B177" s="1" t="s">
        <v>272</v>
      </c>
      <c r="C177" s="1" t="n">
        <v>8000</v>
      </c>
      <c r="D177" s="1" t="s">
        <v>268</v>
      </c>
      <c r="E177" s="1" t="s">
        <v>269</v>
      </c>
      <c r="F177" s="1" t="s">
        <v>254</v>
      </c>
      <c r="G177" s="1" t="n">
        <v>3174.42</v>
      </c>
    </row>
    <row r="178" customFormat="false" ht="15" hidden="false" customHeight="true" outlineLevel="0" collapsed="false">
      <c r="A178" s="1" t="s">
        <v>280</v>
      </c>
      <c r="B178" s="1" t="s">
        <v>273</v>
      </c>
      <c r="C178" s="1" t="n">
        <v>4000</v>
      </c>
      <c r="D178" s="1" t="s">
        <v>253</v>
      </c>
      <c r="E178" s="1" t="s">
        <v>52</v>
      </c>
      <c r="F178" s="1" t="s">
        <v>254</v>
      </c>
      <c r="G178" s="1" t="n">
        <v>223886.51</v>
      </c>
    </row>
    <row r="179" customFormat="false" ht="15" hidden="false" customHeight="true" outlineLevel="0" collapsed="false">
      <c r="A179" s="1" t="s">
        <v>280</v>
      </c>
      <c r="B179" s="1" t="s">
        <v>273</v>
      </c>
      <c r="C179" s="1" t="n">
        <v>4010</v>
      </c>
      <c r="D179" s="1" t="s">
        <v>255</v>
      </c>
      <c r="E179" s="1" t="s">
        <v>52</v>
      </c>
      <c r="F179" s="1" t="s">
        <v>254</v>
      </c>
      <c r="G179" s="1" t="n">
        <v>95951.36</v>
      </c>
    </row>
    <row r="180" customFormat="false" ht="15" hidden="false" customHeight="true" outlineLevel="0" collapsed="false">
      <c r="A180" s="1" t="s">
        <v>280</v>
      </c>
      <c r="B180" s="1" t="s">
        <v>273</v>
      </c>
      <c r="C180" s="1" t="n">
        <v>5000</v>
      </c>
      <c r="D180" s="1" t="s">
        <v>256</v>
      </c>
      <c r="E180" s="1" t="s">
        <v>140</v>
      </c>
      <c r="F180" s="1" t="s">
        <v>257</v>
      </c>
      <c r="G180" s="1" t="n">
        <v>102348.12</v>
      </c>
    </row>
    <row r="181" customFormat="false" ht="15" hidden="false" customHeight="true" outlineLevel="0" collapsed="false">
      <c r="A181" s="1" t="s">
        <v>280</v>
      </c>
      <c r="B181" s="1" t="s">
        <v>273</v>
      </c>
      <c r="C181" s="1" t="n">
        <v>5010</v>
      </c>
      <c r="D181" s="1" t="s">
        <v>258</v>
      </c>
      <c r="E181" s="1" t="s">
        <v>140</v>
      </c>
      <c r="F181" s="1" t="s">
        <v>257</v>
      </c>
      <c r="G181" s="1" t="n">
        <v>19190.27</v>
      </c>
    </row>
    <row r="182" customFormat="false" ht="15" hidden="false" customHeight="true" outlineLevel="0" collapsed="false">
      <c r="A182" s="1" t="s">
        <v>280</v>
      </c>
      <c r="B182" s="1" t="s">
        <v>273</v>
      </c>
      <c r="C182" s="1" t="n">
        <v>6000</v>
      </c>
      <c r="D182" s="1" t="s">
        <v>259</v>
      </c>
      <c r="E182" s="1" t="s">
        <v>143</v>
      </c>
      <c r="F182" s="1" t="s">
        <v>260</v>
      </c>
      <c r="G182" s="1" t="n">
        <v>57476.77</v>
      </c>
    </row>
    <row r="183" customFormat="false" ht="15" hidden="false" customHeight="true" outlineLevel="0" collapsed="false">
      <c r="A183" s="1" t="s">
        <v>280</v>
      </c>
      <c r="B183" s="1" t="s">
        <v>273</v>
      </c>
      <c r="C183" s="1" t="n">
        <v>6010</v>
      </c>
      <c r="D183" s="1" t="s">
        <v>261</v>
      </c>
      <c r="E183" s="1" t="s">
        <v>143</v>
      </c>
      <c r="F183" s="1" t="s">
        <v>262</v>
      </c>
      <c r="G183" s="1" t="n">
        <v>15838.08</v>
      </c>
    </row>
    <row r="184" customFormat="false" ht="15" hidden="false" customHeight="true" outlineLevel="0" collapsed="false">
      <c r="A184" s="1" t="s">
        <v>280</v>
      </c>
      <c r="B184" s="1" t="s">
        <v>273</v>
      </c>
      <c r="C184" s="1" t="n">
        <v>6020</v>
      </c>
      <c r="D184" s="1" t="s">
        <v>263</v>
      </c>
      <c r="E184" s="1" t="s">
        <v>143</v>
      </c>
      <c r="F184" s="1" t="s">
        <v>264</v>
      </c>
      <c r="G184" s="1" t="n">
        <v>8116.5</v>
      </c>
    </row>
    <row r="185" customFormat="false" ht="15" hidden="false" customHeight="true" outlineLevel="0" collapsed="false">
      <c r="A185" s="1" t="s">
        <v>280</v>
      </c>
      <c r="B185" s="1" t="s">
        <v>273</v>
      </c>
      <c r="C185" s="1" t="n">
        <v>6030</v>
      </c>
      <c r="D185" s="1" t="s">
        <v>265</v>
      </c>
      <c r="E185" s="1" t="s">
        <v>143</v>
      </c>
      <c r="F185" s="1" t="s">
        <v>260</v>
      </c>
      <c r="G185" s="1" t="n">
        <v>6385.65</v>
      </c>
    </row>
    <row r="186" customFormat="false" ht="15" hidden="false" customHeight="true" outlineLevel="0" collapsed="false">
      <c r="A186" s="1" t="s">
        <v>280</v>
      </c>
      <c r="B186" s="1" t="s">
        <v>273</v>
      </c>
      <c r="C186" s="1" t="n">
        <v>6040</v>
      </c>
      <c r="D186" s="1" t="s">
        <v>266</v>
      </c>
      <c r="E186" s="1" t="s">
        <v>143</v>
      </c>
      <c r="F186" s="1" t="s">
        <v>260</v>
      </c>
      <c r="G186" s="1" t="n">
        <v>4517.23</v>
      </c>
    </row>
    <row r="187" customFormat="false" ht="15" hidden="false" customHeight="true" outlineLevel="0" collapsed="false">
      <c r="A187" s="1" t="s">
        <v>280</v>
      </c>
      <c r="B187" s="1" t="s">
        <v>273</v>
      </c>
      <c r="C187" s="1" t="n">
        <v>7000</v>
      </c>
      <c r="D187" s="1" t="s">
        <v>267</v>
      </c>
      <c r="E187" s="1" t="s">
        <v>143</v>
      </c>
      <c r="F187" s="1" t="s">
        <v>257</v>
      </c>
      <c r="G187" s="1" t="n">
        <v>6762.28</v>
      </c>
    </row>
    <row r="188" customFormat="false" ht="15" hidden="false" customHeight="true" outlineLevel="0" collapsed="false">
      <c r="A188" s="1" t="s">
        <v>280</v>
      </c>
      <c r="B188" s="1" t="s">
        <v>273</v>
      </c>
      <c r="C188" s="1" t="n">
        <v>8000</v>
      </c>
      <c r="D188" s="1" t="s">
        <v>268</v>
      </c>
      <c r="E188" s="1" t="s">
        <v>269</v>
      </c>
      <c r="F188" s="1" t="s">
        <v>254</v>
      </c>
      <c r="G188" s="1" t="n">
        <v>3198.38</v>
      </c>
    </row>
    <row r="189" customFormat="false" ht="15" hidden="false" customHeight="true" outlineLevel="0" collapsed="false">
      <c r="A189" s="1" t="s">
        <v>280</v>
      </c>
      <c r="B189" s="1" t="s">
        <v>129</v>
      </c>
      <c r="C189" s="1" t="n">
        <v>4000</v>
      </c>
      <c r="D189" s="1" t="s">
        <v>253</v>
      </c>
      <c r="E189" s="1" t="s">
        <v>52</v>
      </c>
      <c r="F189" s="1" t="s">
        <v>254</v>
      </c>
      <c r="G189" s="1" t="n">
        <v>230373.84</v>
      </c>
    </row>
    <row r="190" customFormat="false" ht="15" hidden="false" customHeight="true" outlineLevel="0" collapsed="false">
      <c r="A190" s="1" t="s">
        <v>280</v>
      </c>
      <c r="B190" s="1" t="s">
        <v>129</v>
      </c>
      <c r="C190" s="1" t="n">
        <v>4010</v>
      </c>
      <c r="D190" s="1" t="s">
        <v>255</v>
      </c>
      <c r="E190" s="1" t="s">
        <v>52</v>
      </c>
      <c r="F190" s="1" t="s">
        <v>254</v>
      </c>
      <c r="G190" s="1" t="n">
        <v>98731.64</v>
      </c>
    </row>
    <row r="191" customFormat="false" ht="15" hidden="false" customHeight="true" outlineLevel="0" collapsed="false">
      <c r="A191" s="1" t="s">
        <v>280</v>
      </c>
      <c r="B191" s="1" t="s">
        <v>129</v>
      </c>
      <c r="C191" s="1" t="n">
        <v>5000</v>
      </c>
      <c r="D191" s="1" t="s">
        <v>256</v>
      </c>
      <c r="E191" s="1" t="s">
        <v>140</v>
      </c>
      <c r="F191" s="1" t="s">
        <v>257</v>
      </c>
      <c r="G191" s="1" t="n">
        <v>105313.75</v>
      </c>
    </row>
    <row r="192" customFormat="false" ht="15" hidden="false" customHeight="true" outlineLevel="0" collapsed="false">
      <c r="A192" s="1" t="s">
        <v>280</v>
      </c>
      <c r="B192" s="1" t="s">
        <v>129</v>
      </c>
      <c r="C192" s="1" t="n">
        <v>5010</v>
      </c>
      <c r="D192" s="1" t="s">
        <v>258</v>
      </c>
      <c r="E192" s="1" t="s">
        <v>140</v>
      </c>
      <c r="F192" s="1" t="s">
        <v>257</v>
      </c>
      <c r="G192" s="1" t="n">
        <v>19746.33</v>
      </c>
    </row>
    <row r="193" customFormat="false" ht="15" hidden="false" customHeight="true" outlineLevel="0" collapsed="false">
      <c r="A193" s="1" t="s">
        <v>280</v>
      </c>
      <c r="B193" s="1" t="s">
        <v>129</v>
      </c>
      <c r="C193" s="1" t="n">
        <v>6000</v>
      </c>
      <c r="D193" s="1" t="s">
        <v>259</v>
      </c>
      <c r="E193" s="1" t="s">
        <v>143</v>
      </c>
      <c r="F193" s="1" t="s">
        <v>260</v>
      </c>
      <c r="G193" s="1" t="n">
        <v>54739.54</v>
      </c>
    </row>
    <row r="194" customFormat="false" ht="15" hidden="false" customHeight="true" outlineLevel="0" collapsed="false">
      <c r="A194" s="1" t="s">
        <v>280</v>
      </c>
      <c r="B194" s="1" t="s">
        <v>129</v>
      </c>
      <c r="C194" s="1" t="n">
        <v>6010</v>
      </c>
      <c r="D194" s="1" t="s">
        <v>261</v>
      </c>
      <c r="E194" s="1" t="s">
        <v>143</v>
      </c>
      <c r="F194" s="1" t="s">
        <v>262</v>
      </c>
      <c r="G194" s="1" t="n">
        <v>15707.07</v>
      </c>
    </row>
    <row r="195" customFormat="false" ht="15" hidden="false" customHeight="true" outlineLevel="0" collapsed="false">
      <c r="A195" s="1" t="s">
        <v>280</v>
      </c>
      <c r="B195" s="1" t="s">
        <v>129</v>
      </c>
      <c r="C195" s="1" t="n">
        <v>6020</v>
      </c>
      <c r="D195" s="1" t="s">
        <v>263</v>
      </c>
      <c r="E195" s="1" t="s">
        <v>143</v>
      </c>
      <c r="F195" s="1" t="s">
        <v>264</v>
      </c>
      <c r="G195" s="1" t="n">
        <v>8804.72</v>
      </c>
    </row>
    <row r="196" customFormat="false" ht="15" hidden="false" customHeight="true" outlineLevel="0" collapsed="false">
      <c r="A196" s="1" t="s">
        <v>280</v>
      </c>
      <c r="B196" s="1" t="s">
        <v>129</v>
      </c>
      <c r="C196" s="1" t="n">
        <v>6030</v>
      </c>
      <c r="D196" s="1" t="s">
        <v>265</v>
      </c>
      <c r="E196" s="1" t="s">
        <v>143</v>
      </c>
      <c r="F196" s="1" t="s">
        <v>260</v>
      </c>
      <c r="G196" s="1" t="n">
        <v>6120.75</v>
      </c>
    </row>
    <row r="197" customFormat="false" ht="15" hidden="false" customHeight="true" outlineLevel="0" collapsed="false">
      <c r="A197" s="1" t="s">
        <v>280</v>
      </c>
      <c r="B197" s="1" t="s">
        <v>129</v>
      </c>
      <c r="C197" s="1" t="n">
        <v>6040</v>
      </c>
      <c r="D197" s="1" t="s">
        <v>266</v>
      </c>
      <c r="E197" s="1" t="s">
        <v>143</v>
      </c>
      <c r="F197" s="1" t="s">
        <v>260</v>
      </c>
      <c r="G197" s="1" t="n">
        <v>5081.44</v>
      </c>
    </row>
    <row r="198" customFormat="false" ht="15" hidden="false" customHeight="true" outlineLevel="0" collapsed="false">
      <c r="A198" s="1" t="s">
        <v>280</v>
      </c>
      <c r="B198" s="1" t="s">
        <v>129</v>
      </c>
      <c r="C198" s="1" t="n">
        <v>7000</v>
      </c>
      <c r="D198" s="1" t="s">
        <v>267</v>
      </c>
      <c r="E198" s="1" t="s">
        <v>143</v>
      </c>
      <c r="F198" s="1" t="s">
        <v>257</v>
      </c>
      <c r="G198" s="1" t="n">
        <v>7303</v>
      </c>
    </row>
    <row r="199" customFormat="false" ht="15" hidden="false" customHeight="true" outlineLevel="0" collapsed="false">
      <c r="A199" s="1" t="s">
        <v>280</v>
      </c>
      <c r="B199" s="1" t="s">
        <v>129</v>
      </c>
      <c r="C199" s="1" t="n">
        <v>8000</v>
      </c>
      <c r="D199" s="1" t="s">
        <v>268</v>
      </c>
      <c r="E199" s="1" t="s">
        <v>269</v>
      </c>
      <c r="F199" s="1" t="s">
        <v>254</v>
      </c>
      <c r="G199" s="1" t="n">
        <v>3291.06</v>
      </c>
    </row>
    <row r="200" customFormat="false" ht="15" hidden="false" customHeight="true" outlineLevel="0" collapsed="false">
      <c r="A200" s="1" t="s">
        <v>280</v>
      </c>
      <c r="B200" s="1" t="s">
        <v>274</v>
      </c>
      <c r="C200" s="1" t="n">
        <v>4000</v>
      </c>
      <c r="D200" s="1" t="s">
        <v>253</v>
      </c>
      <c r="E200" s="1" t="s">
        <v>52</v>
      </c>
      <c r="F200" s="1" t="s">
        <v>254</v>
      </c>
      <c r="G200" s="1" t="n">
        <v>212249.76</v>
      </c>
    </row>
    <row r="201" customFormat="false" ht="15" hidden="false" customHeight="true" outlineLevel="0" collapsed="false">
      <c r="A201" s="1" t="s">
        <v>280</v>
      </c>
      <c r="B201" s="1" t="s">
        <v>274</v>
      </c>
      <c r="C201" s="1" t="n">
        <v>4010</v>
      </c>
      <c r="D201" s="1" t="s">
        <v>255</v>
      </c>
      <c r="E201" s="1" t="s">
        <v>52</v>
      </c>
      <c r="F201" s="1" t="s">
        <v>254</v>
      </c>
      <c r="G201" s="1" t="n">
        <v>90964.18</v>
      </c>
    </row>
    <row r="202" customFormat="false" ht="15" hidden="false" customHeight="true" outlineLevel="0" collapsed="false">
      <c r="A202" s="1" t="s">
        <v>280</v>
      </c>
      <c r="B202" s="1" t="s">
        <v>274</v>
      </c>
      <c r="C202" s="1" t="n">
        <v>5000</v>
      </c>
      <c r="D202" s="1" t="s">
        <v>256</v>
      </c>
      <c r="E202" s="1" t="s">
        <v>140</v>
      </c>
      <c r="F202" s="1" t="s">
        <v>257</v>
      </c>
      <c r="G202" s="1" t="n">
        <v>97028.46</v>
      </c>
    </row>
    <row r="203" customFormat="false" ht="15" hidden="false" customHeight="true" outlineLevel="0" collapsed="false">
      <c r="A203" s="1" t="s">
        <v>280</v>
      </c>
      <c r="B203" s="1" t="s">
        <v>274</v>
      </c>
      <c r="C203" s="1" t="n">
        <v>5010</v>
      </c>
      <c r="D203" s="1" t="s">
        <v>258</v>
      </c>
      <c r="E203" s="1" t="s">
        <v>140</v>
      </c>
      <c r="F203" s="1" t="s">
        <v>257</v>
      </c>
      <c r="G203" s="1" t="n">
        <v>18192.84</v>
      </c>
    </row>
    <row r="204" customFormat="false" ht="15" hidden="false" customHeight="true" outlineLevel="0" collapsed="false">
      <c r="A204" s="1" t="s">
        <v>280</v>
      </c>
      <c r="B204" s="1" t="s">
        <v>274</v>
      </c>
      <c r="C204" s="1" t="n">
        <v>6000</v>
      </c>
      <c r="D204" s="1" t="s">
        <v>259</v>
      </c>
      <c r="E204" s="1" t="s">
        <v>143</v>
      </c>
      <c r="F204" s="1" t="s">
        <v>260</v>
      </c>
      <c r="G204" s="1" t="n">
        <v>47140.56</v>
      </c>
    </row>
    <row r="205" customFormat="false" ht="15" hidden="false" customHeight="true" outlineLevel="0" collapsed="false">
      <c r="A205" s="1" t="s">
        <v>280</v>
      </c>
      <c r="B205" s="1" t="s">
        <v>274</v>
      </c>
      <c r="C205" s="1" t="n">
        <v>6010</v>
      </c>
      <c r="D205" s="1" t="s">
        <v>261</v>
      </c>
      <c r="E205" s="1" t="s">
        <v>143</v>
      </c>
      <c r="F205" s="1" t="s">
        <v>262</v>
      </c>
      <c r="G205" s="1" t="n">
        <v>15236.24</v>
      </c>
    </row>
    <row r="206" customFormat="false" ht="15" hidden="false" customHeight="true" outlineLevel="0" collapsed="false">
      <c r="A206" s="1" t="s">
        <v>280</v>
      </c>
      <c r="B206" s="1" t="s">
        <v>274</v>
      </c>
      <c r="C206" s="1" t="n">
        <v>6020</v>
      </c>
      <c r="D206" s="1" t="s">
        <v>263</v>
      </c>
      <c r="E206" s="1" t="s">
        <v>143</v>
      </c>
      <c r="F206" s="1" t="s">
        <v>264</v>
      </c>
      <c r="G206" s="1" t="n">
        <v>7389.52</v>
      </c>
    </row>
    <row r="207" customFormat="false" ht="15" hidden="false" customHeight="true" outlineLevel="0" collapsed="false">
      <c r="A207" s="1" t="s">
        <v>280</v>
      </c>
      <c r="B207" s="1" t="s">
        <v>274</v>
      </c>
      <c r="C207" s="1" t="n">
        <v>6030</v>
      </c>
      <c r="D207" s="1" t="s">
        <v>265</v>
      </c>
      <c r="E207" s="1" t="s">
        <v>143</v>
      </c>
      <c r="F207" s="1" t="s">
        <v>260</v>
      </c>
      <c r="G207" s="1" t="n">
        <v>5594.1</v>
      </c>
    </row>
    <row r="208" customFormat="false" ht="15" hidden="false" customHeight="true" outlineLevel="0" collapsed="false">
      <c r="A208" s="1" t="s">
        <v>280</v>
      </c>
      <c r="B208" s="1" t="s">
        <v>274</v>
      </c>
      <c r="C208" s="1" t="n">
        <v>6040</v>
      </c>
      <c r="D208" s="1" t="s">
        <v>266</v>
      </c>
      <c r="E208" s="1" t="s">
        <v>143</v>
      </c>
      <c r="F208" s="1" t="s">
        <v>260</v>
      </c>
      <c r="G208" s="1" t="n">
        <v>4563.8</v>
      </c>
    </row>
    <row r="209" customFormat="false" ht="15" hidden="false" customHeight="true" outlineLevel="0" collapsed="false">
      <c r="A209" s="1" t="s">
        <v>280</v>
      </c>
      <c r="B209" s="1" t="s">
        <v>274</v>
      </c>
      <c r="C209" s="1" t="n">
        <v>7000</v>
      </c>
      <c r="D209" s="1" t="s">
        <v>267</v>
      </c>
      <c r="E209" s="1" t="s">
        <v>143</v>
      </c>
      <c r="F209" s="1" t="s">
        <v>257</v>
      </c>
      <c r="G209" s="1" t="n">
        <v>5742.17</v>
      </c>
    </row>
    <row r="210" customFormat="false" ht="15" hidden="false" customHeight="true" outlineLevel="0" collapsed="false">
      <c r="A210" s="1" t="s">
        <v>280</v>
      </c>
      <c r="B210" s="1" t="s">
        <v>274</v>
      </c>
      <c r="C210" s="1" t="n">
        <v>8000</v>
      </c>
      <c r="D210" s="1" t="s">
        <v>268</v>
      </c>
      <c r="E210" s="1" t="s">
        <v>269</v>
      </c>
      <c r="F210" s="1" t="s">
        <v>254</v>
      </c>
      <c r="G210" s="1" t="n">
        <v>3032.14</v>
      </c>
    </row>
    <row r="211" customFormat="false" ht="15" hidden="false" customHeight="true" outlineLevel="0" collapsed="false">
      <c r="A211" s="1" t="s">
        <v>280</v>
      </c>
      <c r="B211" s="1" t="s">
        <v>275</v>
      </c>
      <c r="C211" s="1" t="n">
        <v>4000</v>
      </c>
      <c r="D211" s="1" t="s">
        <v>253</v>
      </c>
      <c r="E211" s="1" t="s">
        <v>52</v>
      </c>
      <c r="F211" s="1" t="s">
        <v>254</v>
      </c>
      <c r="G211" s="1" t="n">
        <v>214189.53</v>
      </c>
    </row>
    <row r="212" customFormat="false" ht="15" hidden="false" customHeight="true" outlineLevel="0" collapsed="false">
      <c r="A212" s="1" t="s">
        <v>280</v>
      </c>
      <c r="B212" s="1" t="s">
        <v>275</v>
      </c>
      <c r="C212" s="1" t="n">
        <v>4010</v>
      </c>
      <c r="D212" s="1" t="s">
        <v>255</v>
      </c>
      <c r="E212" s="1" t="s">
        <v>52</v>
      </c>
      <c r="F212" s="1" t="s">
        <v>254</v>
      </c>
      <c r="G212" s="1" t="n">
        <v>91795.52</v>
      </c>
    </row>
    <row r="213" customFormat="false" ht="15" hidden="false" customHeight="true" outlineLevel="0" collapsed="false">
      <c r="A213" s="1" t="s">
        <v>280</v>
      </c>
      <c r="B213" s="1" t="s">
        <v>275</v>
      </c>
      <c r="C213" s="1" t="n">
        <v>5000</v>
      </c>
      <c r="D213" s="1" t="s">
        <v>256</v>
      </c>
      <c r="E213" s="1" t="s">
        <v>140</v>
      </c>
      <c r="F213" s="1" t="s">
        <v>257</v>
      </c>
      <c r="G213" s="1" t="n">
        <v>97915.22</v>
      </c>
    </row>
    <row r="214" customFormat="false" ht="15" hidden="false" customHeight="true" outlineLevel="0" collapsed="false">
      <c r="A214" s="1" t="s">
        <v>280</v>
      </c>
      <c r="B214" s="1" t="s">
        <v>275</v>
      </c>
      <c r="C214" s="1" t="n">
        <v>5010</v>
      </c>
      <c r="D214" s="1" t="s">
        <v>258</v>
      </c>
      <c r="E214" s="1" t="s">
        <v>140</v>
      </c>
      <c r="F214" s="1" t="s">
        <v>257</v>
      </c>
      <c r="G214" s="1" t="n">
        <v>18359.1</v>
      </c>
    </row>
    <row r="215" customFormat="false" ht="15" hidden="false" customHeight="true" outlineLevel="0" collapsed="false">
      <c r="A215" s="1" t="s">
        <v>280</v>
      </c>
      <c r="B215" s="1" t="s">
        <v>275</v>
      </c>
      <c r="C215" s="1" t="n">
        <v>6000</v>
      </c>
      <c r="D215" s="1" t="s">
        <v>259</v>
      </c>
      <c r="E215" s="1" t="s">
        <v>143</v>
      </c>
      <c r="F215" s="1" t="s">
        <v>260</v>
      </c>
      <c r="G215" s="1" t="n">
        <v>46706.97</v>
      </c>
    </row>
    <row r="216" customFormat="false" ht="15" hidden="false" customHeight="true" outlineLevel="0" collapsed="false">
      <c r="A216" s="1" t="s">
        <v>280</v>
      </c>
      <c r="B216" s="1" t="s">
        <v>275</v>
      </c>
      <c r="C216" s="1" t="n">
        <v>6010</v>
      </c>
      <c r="D216" s="1" t="s">
        <v>261</v>
      </c>
      <c r="E216" s="1" t="s">
        <v>143</v>
      </c>
      <c r="F216" s="1" t="s">
        <v>262</v>
      </c>
      <c r="G216" s="1" t="n">
        <v>16484.89</v>
      </c>
    </row>
    <row r="217" customFormat="false" ht="15" hidden="false" customHeight="true" outlineLevel="0" collapsed="false">
      <c r="A217" s="1" t="s">
        <v>280</v>
      </c>
      <c r="B217" s="1" t="s">
        <v>275</v>
      </c>
      <c r="C217" s="1" t="n">
        <v>6020</v>
      </c>
      <c r="D217" s="1" t="s">
        <v>263</v>
      </c>
      <c r="E217" s="1" t="s">
        <v>143</v>
      </c>
      <c r="F217" s="1" t="s">
        <v>264</v>
      </c>
      <c r="G217" s="1" t="n">
        <v>7350.05</v>
      </c>
    </row>
    <row r="218" customFormat="false" ht="15" hidden="false" customHeight="true" outlineLevel="0" collapsed="false">
      <c r="A218" s="1" t="s">
        <v>280</v>
      </c>
      <c r="B218" s="1" t="s">
        <v>275</v>
      </c>
      <c r="C218" s="1" t="n">
        <v>6030</v>
      </c>
      <c r="D218" s="1" t="s">
        <v>265</v>
      </c>
      <c r="E218" s="1" t="s">
        <v>143</v>
      </c>
      <c r="F218" s="1" t="s">
        <v>260</v>
      </c>
      <c r="G218" s="1" t="n">
        <v>6021.15</v>
      </c>
    </row>
    <row r="219" customFormat="false" ht="15" hidden="false" customHeight="true" outlineLevel="0" collapsed="false">
      <c r="A219" s="1" t="s">
        <v>280</v>
      </c>
      <c r="B219" s="1" t="s">
        <v>275</v>
      </c>
      <c r="C219" s="1" t="n">
        <v>6040</v>
      </c>
      <c r="D219" s="1" t="s">
        <v>266</v>
      </c>
      <c r="E219" s="1" t="s">
        <v>143</v>
      </c>
      <c r="F219" s="1" t="s">
        <v>260</v>
      </c>
      <c r="G219" s="1" t="n">
        <v>4776.47</v>
      </c>
    </row>
    <row r="220" customFormat="false" ht="15" hidden="false" customHeight="true" outlineLevel="0" collapsed="false">
      <c r="A220" s="1" t="s">
        <v>280</v>
      </c>
      <c r="B220" s="1" t="s">
        <v>275</v>
      </c>
      <c r="C220" s="1" t="n">
        <v>7000</v>
      </c>
      <c r="D220" s="1" t="s">
        <v>267</v>
      </c>
      <c r="E220" s="1" t="s">
        <v>143</v>
      </c>
      <c r="F220" s="1" t="s">
        <v>257</v>
      </c>
      <c r="G220" s="1" t="n">
        <v>5743.07</v>
      </c>
    </row>
    <row r="221" customFormat="false" ht="15" hidden="false" customHeight="true" outlineLevel="0" collapsed="false">
      <c r="A221" s="1" t="s">
        <v>280</v>
      </c>
      <c r="B221" s="1" t="s">
        <v>275</v>
      </c>
      <c r="C221" s="1" t="n">
        <v>8000</v>
      </c>
      <c r="D221" s="1" t="s">
        <v>268</v>
      </c>
      <c r="E221" s="1" t="s">
        <v>269</v>
      </c>
      <c r="F221" s="1" t="s">
        <v>254</v>
      </c>
      <c r="G221" s="1" t="n">
        <v>3059.85</v>
      </c>
    </row>
    <row r="222" customFormat="false" ht="15" hidden="false" customHeight="true" outlineLevel="0" collapsed="false">
      <c r="A222" s="1" t="s">
        <v>280</v>
      </c>
      <c r="B222" s="1" t="s">
        <v>276</v>
      </c>
      <c r="C222" s="1" t="n">
        <v>4000</v>
      </c>
      <c r="D222" s="1" t="s">
        <v>253</v>
      </c>
      <c r="E222" s="1" t="s">
        <v>52</v>
      </c>
      <c r="F222" s="1" t="s">
        <v>254</v>
      </c>
      <c r="G222" s="1" t="n">
        <v>206391.9</v>
      </c>
    </row>
    <row r="223" customFormat="false" ht="15" hidden="false" customHeight="true" outlineLevel="0" collapsed="false">
      <c r="A223" s="1" t="s">
        <v>280</v>
      </c>
      <c r="B223" s="1" t="s">
        <v>276</v>
      </c>
      <c r="C223" s="1" t="n">
        <v>4010</v>
      </c>
      <c r="D223" s="1" t="s">
        <v>255</v>
      </c>
      <c r="E223" s="1" t="s">
        <v>52</v>
      </c>
      <c r="F223" s="1" t="s">
        <v>254</v>
      </c>
      <c r="G223" s="1" t="n">
        <v>88453.68</v>
      </c>
    </row>
    <row r="224" customFormat="false" ht="15" hidden="false" customHeight="true" outlineLevel="0" collapsed="false">
      <c r="A224" s="1" t="s">
        <v>280</v>
      </c>
      <c r="B224" s="1" t="s">
        <v>276</v>
      </c>
      <c r="C224" s="1" t="n">
        <v>5000</v>
      </c>
      <c r="D224" s="1" t="s">
        <v>256</v>
      </c>
      <c r="E224" s="1" t="s">
        <v>140</v>
      </c>
      <c r="F224" s="1" t="s">
        <v>257</v>
      </c>
      <c r="G224" s="1" t="n">
        <v>94350.59</v>
      </c>
    </row>
    <row r="225" customFormat="false" ht="15" hidden="false" customHeight="true" outlineLevel="0" collapsed="false">
      <c r="A225" s="1" t="s">
        <v>280</v>
      </c>
      <c r="B225" s="1" t="s">
        <v>276</v>
      </c>
      <c r="C225" s="1" t="n">
        <v>5010</v>
      </c>
      <c r="D225" s="1" t="s">
        <v>258</v>
      </c>
      <c r="E225" s="1" t="s">
        <v>140</v>
      </c>
      <c r="F225" s="1" t="s">
        <v>257</v>
      </c>
      <c r="G225" s="1" t="n">
        <v>17690.74</v>
      </c>
    </row>
    <row r="226" customFormat="false" ht="15" hidden="false" customHeight="true" outlineLevel="0" collapsed="false">
      <c r="A226" s="1" t="s">
        <v>280</v>
      </c>
      <c r="B226" s="1" t="s">
        <v>276</v>
      </c>
      <c r="C226" s="1" t="n">
        <v>6000</v>
      </c>
      <c r="D226" s="1" t="s">
        <v>259</v>
      </c>
      <c r="E226" s="1" t="s">
        <v>143</v>
      </c>
      <c r="F226" s="1" t="s">
        <v>260</v>
      </c>
      <c r="G226" s="1" t="n">
        <v>50258.53</v>
      </c>
    </row>
    <row r="227" customFormat="false" ht="15" hidden="false" customHeight="true" outlineLevel="0" collapsed="false">
      <c r="A227" s="1" t="s">
        <v>280</v>
      </c>
      <c r="B227" s="1" t="s">
        <v>276</v>
      </c>
      <c r="C227" s="1" t="n">
        <v>6010</v>
      </c>
      <c r="D227" s="1" t="s">
        <v>261</v>
      </c>
      <c r="E227" s="1" t="s">
        <v>143</v>
      </c>
      <c r="F227" s="1" t="s">
        <v>262</v>
      </c>
      <c r="G227" s="1" t="n">
        <v>13557.38</v>
      </c>
    </row>
    <row r="228" customFormat="false" ht="15" hidden="false" customHeight="true" outlineLevel="0" collapsed="false">
      <c r="A228" s="1" t="s">
        <v>280</v>
      </c>
      <c r="B228" s="1" t="s">
        <v>276</v>
      </c>
      <c r="C228" s="1" t="n">
        <v>6020</v>
      </c>
      <c r="D228" s="1" t="s">
        <v>263</v>
      </c>
      <c r="E228" s="1" t="s">
        <v>143</v>
      </c>
      <c r="F228" s="1" t="s">
        <v>264</v>
      </c>
      <c r="G228" s="1" t="n">
        <v>7439.19</v>
      </c>
    </row>
    <row r="229" customFormat="false" ht="15" hidden="false" customHeight="true" outlineLevel="0" collapsed="false">
      <c r="A229" s="1" t="s">
        <v>280</v>
      </c>
      <c r="B229" s="1" t="s">
        <v>276</v>
      </c>
      <c r="C229" s="1" t="n">
        <v>6030</v>
      </c>
      <c r="D229" s="1" t="s">
        <v>265</v>
      </c>
      <c r="E229" s="1" t="s">
        <v>143</v>
      </c>
      <c r="F229" s="1" t="s">
        <v>260</v>
      </c>
      <c r="G229" s="1" t="n">
        <v>5973.53</v>
      </c>
    </row>
    <row r="230" customFormat="false" ht="15" hidden="false" customHeight="true" outlineLevel="0" collapsed="false">
      <c r="A230" s="1" t="s">
        <v>280</v>
      </c>
      <c r="B230" s="1" t="s">
        <v>276</v>
      </c>
      <c r="C230" s="1" t="n">
        <v>6040</v>
      </c>
      <c r="D230" s="1" t="s">
        <v>266</v>
      </c>
      <c r="E230" s="1" t="s">
        <v>143</v>
      </c>
      <c r="F230" s="1" t="s">
        <v>260</v>
      </c>
      <c r="G230" s="1" t="n">
        <v>4595.58</v>
      </c>
    </row>
    <row r="231" customFormat="false" ht="15" hidden="false" customHeight="true" outlineLevel="0" collapsed="false">
      <c r="A231" s="1" t="s">
        <v>280</v>
      </c>
      <c r="B231" s="1" t="s">
        <v>276</v>
      </c>
      <c r="C231" s="1" t="n">
        <v>7000</v>
      </c>
      <c r="D231" s="1" t="s">
        <v>267</v>
      </c>
      <c r="E231" s="1" t="s">
        <v>143</v>
      </c>
      <c r="F231" s="1" t="s">
        <v>257</v>
      </c>
      <c r="G231" s="1" t="n">
        <v>5532.2</v>
      </c>
    </row>
    <row r="232" customFormat="false" ht="15" hidden="false" customHeight="true" outlineLevel="0" collapsed="false">
      <c r="A232" s="1" t="s">
        <v>280</v>
      </c>
      <c r="B232" s="1" t="s">
        <v>276</v>
      </c>
      <c r="C232" s="1" t="n">
        <v>8000</v>
      </c>
      <c r="D232" s="1" t="s">
        <v>268</v>
      </c>
      <c r="E232" s="1" t="s">
        <v>269</v>
      </c>
      <c r="F232" s="1" t="s">
        <v>254</v>
      </c>
      <c r="G232" s="1" t="n">
        <v>2948.46</v>
      </c>
    </row>
    <row r="233" customFormat="false" ht="15" hidden="false" customHeight="true" outlineLevel="0" collapsed="false">
      <c r="A233" s="1" t="s">
        <v>280</v>
      </c>
      <c r="B233" s="1" t="s">
        <v>277</v>
      </c>
      <c r="C233" s="1" t="n">
        <v>4000</v>
      </c>
      <c r="D233" s="1" t="s">
        <v>253</v>
      </c>
      <c r="E233" s="1" t="s">
        <v>52</v>
      </c>
      <c r="F233" s="1" t="s">
        <v>254</v>
      </c>
      <c r="G233" s="1" t="n">
        <v>198633.68</v>
      </c>
    </row>
    <row r="234" customFormat="false" ht="15" hidden="false" customHeight="true" outlineLevel="0" collapsed="false">
      <c r="A234" s="1" t="s">
        <v>280</v>
      </c>
      <c r="B234" s="1" t="s">
        <v>277</v>
      </c>
      <c r="C234" s="1" t="n">
        <v>4010</v>
      </c>
      <c r="D234" s="1" t="s">
        <v>255</v>
      </c>
      <c r="E234" s="1" t="s">
        <v>52</v>
      </c>
      <c r="F234" s="1" t="s">
        <v>254</v>
      </c>
      <c r="G234" s="1" t="n">
        <v>85128.72</v>
      </c>
    </row>
    <row r="235" customFormat="false" ht="15" hidden="false" customHeight="true" outlineLevel="0" collapsed="false">
      <c r="A235" s="1" t="s">
        <v>280</v>
      </c>
      <c r="B235" s="1" t="s">
        <v>277</v>
      </c>
      <c r="C235" s="1" t="n">
        <v>5000</v>
      </c>
      <c r="D235" s="1" t="s">
        <v>256</v>
      </c>
      <c r="E235" s="1" t="s">
        <v>140</v>
      </c>
      <c r="F235" s="1" t="s">
        <v>257</v>
      </c>
      <c r="G235" s="1" t="n">
        <v>90803.97</v>
      </c>
    </row>
    <row r="236" customFormat="false" ht="15" hidden="false" customHeight="true" outlineLevel="0" collapsed="false">
      <c r="A236" s="1" t="s">
        <v>280</v>
      </c>
      <c r="B236" s="1" t="s">
        <v>277</v>
      </c>
      <c r="C236" s="1" t="n">
        <v>5010</v>
      </c>
      <c r="D236" s="1" t="s">
        <v>258</v>
      </c>
      <c r="E236" s="1" t="s">
        <v>140</v>
      </c>
      <c r="F236" s="1" t="s">
        <v>257</v>
      </c>
      <c r="G236" s="1" t="n">
        <v>17025.75</v>
      </c>
    </row>
    <row r="237" customFormat="false" ht="15" hidden="false" customHeight="true" outlineLevel="0" collapsed="false">
      <c r="A237" s="1" t="s">
        <v>280</v>
      </c>
      <c r="B237" s="1" t="s">
        <v>277</v>
      </c>
      <c r="C237" s="1" t="n">
        <v>6000</v>
      </c>
      <c r="D237" s="1" t="s">
        <v>259</v>
      </c>
      <c r="E237" s="1" t="s">
        <v>143</v>
      </c>
      <c r="F237" s="1" t="s">
        <v>260</v>
      </c>
      <c r="G237" s="1" t="n">
        <v>46586.84</v>
      </c>
    </row>
    <row r="238" customFormat="false" ht="15" hidden="false" customHeight="true" outlineLevel="0" collapsed="false">
      <c r="A238" s="1" t="s">
        <v>280</v>
      </c>
      <c r="B238" s="1" t="s">
        <v>277</v>
      </c>
      <c r="C238" s="1" t="n">
        <v>6010</v>
      </c>
      <c r="D238" s="1" t="s">
        <v>261</v>
      </c>
      <c r="E238" s="1" t="s">
        <v>143</v>
      </c>
      <c r="F238" s="1" t="s">
        <v>262</v>
      </c>
      <c r="G238" s="1" t="n">
        <v>14398.8</v>
      </c>
    </row>
    <row r="239" customFormat="false" ht="15" hidden="false" customHeight="true" outlineLevel="0" collapsed="false">
      <c r="A239" s="1" t="s">
        <v>280</v>
      </c>
      <c r="B239" s="1" t="s">
        <v>277</v>
      </c>
      <c r="C239" s="1" t="n">
        <v>6020</v>
      </c>
      <c r="D239" s="1" t="s">
        <v>263</v>
      </c>
      <c r="E239" s="1" t="s">
        <v>143</v>
      </c>
      <c r="F239" s="1" t="s">
        <v>264</v>
      </c>
      <c r="G239" s="1" t="n">
        <v>7182.91</v>
      </c>
    </row>
    <row r="240" customFormat="false" ht="15" hidden="false" customHeight="true" outlineLevel="0" collapsed="false">
      <c r="A240" s="1" t="s">
        <v>280</v>
      </c>
      <c r="B240" s="1" t="s">
        <v>277</v>
      </c>
      <c r="C240" s="1" t="n">
        <v>6030</v>
      </c>
      <c r="D240" s="1" t="s">
        <v>265</v>
      </c>
      <c r="E240" s="1" t="s">
        <v>143</v>
      </c>
      <c r="F240" s="1" t="s">
        <v>260</v>
      </c>
      <c r="G240" s="1" t="n">
        <v>5773.56</v>
      </c>
    </row>
    <row r="241" customFormat="false" ht="15" hidden="false" customHeight="true" outlineLevel="0" collapsed="false">
      <c r="A241" s="1" t="s">
        <v>280</v>
      </c>
      <c r="B241" s="1" t="s">
        <v>277</v>
      </c>
      <c r="C241" s="1" t="n">
        <v>6040</v>
      </c>
      <c r="D241" s="1" t="s">
        <v>266</v>
      </c>
      <c r="E241" s="1" t="s">
        <v>143</v>
      </c>
      <c r="F241" s="1" t="s">
        <v>260</v>
      </c>
      <c r="G241" s="1" t="n">
        <v>4111.71</v>
      </c>
    </row>
    <row r="242" customFormat="false" ht="15" hidden="false" customHeight="true" outlineLevel="0" collapsed="false">
      <c r="A242" s="1" t="s">
        <v>280</v>
      </c>
      <c r="B242" s="1" t="s">
        <v>277</v>
      </c>
      <c r="C242" s="1" t="n">
        <v>7000</v>
      </c>
      <c r="D242" s="1" t="s">
        <v>267</v>
      </c>
      <c r="E242" s="1" t="s">
        <v>143</v>
      </c>
      <c r="F242" s="1" t="s">
        <v>257</v>
      </c>
      <c r="G242" s="1" t="n">
        <v>5741.15</v>
      </c>
    </row>
    <row r="243" customFormat="false" ht="15" hidden="false" customHeight="true" outlineLevel="0" collapsed="false">
      <c r="A243" s="1" t="s">
        <v>280</v>
      </c>
      <c r="B243" s="1" t="s">
        <v>277</v>
      </c>
      <c r="C243" s="1" t="n">
        <v>8000</v>
      </c>
      <c r="D243" s="1" t="s">
        <v>268</v>
      </c>
      <c r="E243" s="1" t="s">
        <v>269</v>
      </c>
      <c r="F243" s="1" t="s">
        <v>254</v>
      </c>
      <c r="G243" s="1" t="n">
        <v>2837.62</v>
      </c>
    </row>
    <row r="244" customFormat="false" ht="15" hidden="false" customHeight="true" outlineLevel="0" collapsed="false">
      <c r="A244" s="1" t="s">
        <v>280</v>
      </c>
      <c r="B244" s="1" t="s">
        <v>278</v>
      </c>
      <c r="C244" s="1" t="n">
        <v>4000</v>
      </c>
      <c r="D244" s="1" t="s">
        <v>253</v>
      </c>
      <c r="E244" s="1" t="s">
        <v>52</v>
      </c>
      <c r="F244" s="1" t="s">
        <v>254</v>
      </c>
      <c r="G244" s="1" t="n">
        <v>214592.37</v>
      </c>
    </row>
    <row r="245" customFormat="false" ht="15" hidden="false" customHeight="true" outlineLevel="0" collapsed="false">
      <c r="A245" s="1" t="s">
        <v>280</v>
      </c>
      <c r="B245" s="1" t="s">
        <v>278</v>
      </c>
      <c r="C245" s="1" t="n">
        <v>4010</v>
      </c>
      <c r="D245" s="1" t="s">
        <v>255</v>
      </c>
      <c r="E245" s="1" t="s">
        <v>52</v>
      </c>
      <c r="F245" s="1" t="s">
        <v>254</v>
      </c>
      <c r="G245" s="1" t="n">
        <v>91968.16</v>
      </c>
    </row>
    <row r="246" customFormat="false" ht="15" hidden="false" customHeight="true" outlineLevel="0" collapsed="false">
      <c r="A246" s="1" t="s">
        <v>280</v>
      </c>
      <c r="B246" s="1" t="s">
        <v>278</v>
      </c>
      <c r="C246" s="1" t="n">
        <v>5000</v>
      </c>
      <c r="D246" s="1" t="s">
        <v>256</v>
      </c>
      <c r="E246" s="1" t="s">
        <v>140</v>
      </c>
      <c r="F246" s="1" t="s">
        <v>257</v>
      </c>
      <c r="G246" s="1" t="n">
        <v>98099.38</v>
      </c>
    </row>
    <row r="247" customFormat="false" ht="15" hidden="false" customHeight="true" outlineLevel="0" collapsed="false">
      <c r="A247" s="1" t="s">
        <v>280</v>
      </c>
      <c r="B247" s="1" t="s">
        <v>278</v>
      </c>
      <c r="C247" s="1" t="n">
        <v>5010</v>
      </c>
      <c r="D247" s="1" t="s">
        <v>258</v>
      </c>
      <c r="E247" s="1" t="s">
        <v>140</v>
      </c>
      <c r="F247" s="1" t="s">
        <v>257</v>
      </c>
      <c r="G247" s="1" t="n">
        <v>18393.63</v>
      </c>
    </row>
    <row r="248" customFormat="false" ht="15" hidden="false" customHeight="true" outlineLevel="0" collapsed="false">
      <c r="A248" s="1" t="s">
        <v>280</v>
      </c>
      <c r="B248" s="1" t="s">
        <v>278</v>
      </c>
      <c r="C248" s="1" t="n">
        <v>6000</v>
      </c>
      <c r="D248" s="1" t="s">
        <v>259</v>
      </c>
      <c r="E248" s="1" t="s">
        <v>143</v>
      </c>
      <c r="F248" s="1" t="s">
        <v>260</v>
      </c>
      <c r="G248" s="1" t="n">
        <v>47297.75</v>
      </c>
    </row>
    <row r="249" customFormat="false" ht="15" hidden="false" customHeight="true" outlineLevel="0" collapsed="false">
      <c r="A249" s="1" t="s">
        <v>280</v>
      </c>
      <c r="B249" s="1" t="s">
        <v>278</v>
      </c>
      <c r="C249" s="1" t="n">
        <v>6010</v>
      </c>
      <c r="D249" s="1" t="s">
        <v>261</v>
      </c>
      <c r="E249" s="1" t="s">
        <v>143</v>
      </c>
      <c r="F249" s="1" t="s">
        <v>262</v>
      </c>
      <c r="G249" s="1" t="n">
        <v>16757.96</v>
      </c>
    </row>
    <row r="250" customFormat="false" ht="15" hidden="false" customHeight="true" outlineLevel="0" collapsed="false">
      <c r="A250" s="1" t="s">
        <v>280</v>
      </c>
      <c r="B250" s="1" t="s">
        <v>278</v>
      </c>
      <c r="C250" s="1" t="n">
        <v>6020</v>
      </c>
      <c r="D250" s="1" t="s">
        <v>263</v>
      </c>
      <c r="E250" s="1" t="s">
        <v>143</v>
      </c>
      <c r="F250" s="1" t="s">
        <v>264</v>
      </c>
      <c r="G250" s="1" t="n">
        <v>7845.59</v>
      </c>
    </row>
    <row r="251" customFormat="false" ht="15" hidden="false" customHeight="true" outlineLevel="0" collapsed="false">
      <c r="A251" s="1" t="s">
        <v>280</v>
      </c>
      <c r="B251" s="1" t="s">
        <v>278</v>
      </c>
      <c r="C251" s="1" t="n">
        <v>6030</v>
      </c>
      <c r="D251" s="1" t="s">
        <v>265</v>
      </c>
      <c r="E251" s="1" t="s">
        <v>143</v>
      </c>
      <c r="F251" s="1" t="s">
        <v>260</v>
      </c>
      <c r="G251" s="1" t="n">
        <v>5766</v>
      </c>
    </row>
    <row r="252" customFormat="false" ht="15" hidden="false" customHeight="true" outlineLevel="0" collapsed="false">
      <c r="A252" s="1" t="s">
        <v>280</v>
      </c>
      <c r="B252" s="1" t="s">
        <v>278</v>
      </c>
      <c r="C252" s="1" t="n">
        <v>6040</v>
      </c>
      <c r="D252" s="1" t="s">
        <v>266</v>
      </c>
      <c r="E252" s="1" t="s">
        <v>143</v>
      </c>
      <c r="F252" s="1" t="s">
        <v>260</v>
      </c>
      <c r="G252" s="1" t="n">
        <v>4749.36</v>
      </c>
    </row>
    <row r="253" customFormat="false" ht="15" hidden="false" customHeight="true" outlineLevel="0" collapsed="false">
      <c r="A253" s="1" t="s">
        <v>280</v>
      </c>
      <c r="B253" s="1" t="s">
        <v>278</v>
      </c>
      <c r="C253" s="1" t="n">
        <v>7000</v>
      </c>
      <c r="D253" s="1" t="s">
        <v>267</v>
      </c>
      <c r="E253" s="1" t="s">
        <v>143</v>
      </c>
      <c r="F253" s="1" t="s">
        <v>257</v>
      </c>
      <c r="G253" s="1" t="n">
        <v>5832.41</v>
      </c>
    </row>
    <row r="254" customFormat="false" ht="15" hidden="false" customHeight="true" outlineLevel="0" collapsed="false">
      <c r="A254" s="1" t="s">
        <v>280</v>
      </c>
      <c r="B254" s="1" t="s">
        <v>278</v>
      </c>
      <c r="C254" s="1" t="n">
        <v>8000</v>
      </c>
      <c r="D254" s="1" t="s">
        <v>268</v>
      </c>
      <c r="E254" s="1" t="s">
        <v>269</v>
      </c>
      <c r="F254" s="1" t="s">
        <v>254</v>
      </c>
      <c r="G254" s="1" t="n">
        <v>3065.6</v>
      </c>
    </row>
    <row r="255" customFormat="false" ht="15" hidden="false" customHeight="true" outlineLevel="0" collapsed="false">
      <c r="A255" s="1" t="s">
        <v>280</v>
      </c>
      <c r="B255" s="1" t="s">
        <v>279</v>
      </c>
      <c r="C255" s="1" t="n">
        <v>4000</v>
      </c>
      <c r="D255" s="1" t="s">
        <v>253</v>
      </c>
      <c r="E255" s="1" t="s">
        <v>52</v>
      </c>
      <c r="F255" s="1" t="s">
        <v>254</v>
      </c>
      <c r="G255" s="1" t="n">
        <v>227626.49</v>
      </c>
    </row>
    <row r="256" customFormat="false" ht="15" hidden="false" customHeight="true" outlineLevel="0" collapsed="false">
      <c r="A256" s="1" t="s">
        <v>280</v>
      </c>
      <c r="B256" s="1" t="s">
        <v>279</v>
      </c>
      <c r="C256" s="1" t="n">
        <v>4010</v>
      </c>
      <c r="D256" s="1" t="s">
        <v>255</v>
      </c>
      <c r="E256" s="1" t="s">
        <v>52</v>
      </c>
      <c r="F256" s="1" t="s">
        <v>254</v>
      </c>
      <c r="G256" s="1" t="n">
        <v>97554.21</v>
      </c>
    </row>
    <row r="257" customFormat="false" ht="15" hidden="false" customHeight="true" outlineLevel="0" collapsed="false">
      <c r="A257" s="1" t="s">
        <v>280</v>
      </c>
      <c r="B257" s="1" t="s">
        <v>279</v>
      </c>
      <c r="C257" s="1" t="n">
        <v>5000</v>
      </c>
      <c r="D257" s="1" t="s">
        <v>256</v>
      </c>
      <c r="E257" s="1" t="s">
        <v>140</v>
      </c>
      <c r="F257" s="1" t="s">
        <v>257</v>
      </c>
      <c r="G257" s="1" t="n">
        <v>104057.83</v>
      </c>
    </row>
    <row r="258" customFormat="false" ht="15" hidden="false" customHeight="true" outlineLevel="0" collapsed="false">
      <c r="A258" s="1" t="s">
        <v>280</v>
      </c>
      <c r="B258" s="1" t="s">
        <v>279</v>
      </c>
      <c r="C258" s="1" t="n">
        <v>5010</v>
      </c>
      <c r="D258" s="1" t="s">
        <v>258</v>
      </c>
      <c r="E258" s="1" t="s">
        <v>140</v>
      </c>
      <c r="F258" s="1" t="s">
        <v>257</v>
      </c>
      <c r="G258" s="1" t="n">
        <v>19510.85</v>
      </c>
    </row>
    <row r="259" customFormat="false" ht="15" hidden="false" customHeight="true" outlineLevel="0" collapsed="false">
      <c r="A259" s="1" t="s">
        <v>280</v>
      </c>
      <c r="B259" s="1" t="s">
        <v>279</v>
      </c>
      <c r="C259" s="1" t="n">
        <v>6000</v>
      </c>
      <c r="D259" s="1" t="s">
        <v>259</v>
      </c>
      <c r="E259" s="1" t="s">
        <v>143</v>
      </c>
      <c r="F259" s="1" t="s">
        <v>260</v>
      </c>
      <c r="G259" s="1" t="n">
        <v>55042.94</v>
      </c>
    </row>
    <row r="260" customFormat="false" ht="15" hidden="false" customHeight="true" outlineLevel="0" collapsed="false">
      <c r="A260" s="1" t="s">
        <v>280</v>
      </c>
      <c r="B260" s="1" t="s">
        <v>279</v>
      </c>
      <c r="C260" s="1" t="n">
        <v>6010</v>
      </c>
      <c r="D260" s="1" t="s">
        <v>261</v>
      </c>
      <c r="E260" s="1" t="s">
        <v>143</v>
      </c>
      <c r="F260" s="1" t="s">
        <v>262</v>
      </c>
      <c r="G260" s="1" t="n">
        <v>15591.86</v>
      </c>
    </row>
    <row r="261" customFormat="false" ht="15" hidden="false" customHeight="true" outlineLevel="0" collapsed="false">
      <c r="A261" s="1" t="s">
        <v>280</v>
      </c>
      <c r="B261" s="1" t="s">
        <v>279</v>
      </c>
      <c r="C261" s="1" t="n">
        <v>6020</v>
      </c>
      <c r="D261" s="1" t="s">
        <v>263</v>
      </c>
      <c r="E261" s="1" t="s">
        <v>143</v>
      </c>
      <c r="F261" s="1" t="s">
        <v>264</v>
      </c>
      <c r="G261" s="1" t="n">
        <v>8521.1</v>
      </c>
    </row>
    <row r="262" customFormat="false" ht="15" hidden="false" customHeight="true" outlineLevel="0" collapsed="false">
      <c r="A262" s="1" t="s">
        <v>280</v>
      </c>
      <c r="B262" s="1" t="s">
        <v>279</v>
      </c>
      <c r="C262" s="1" t="n">
        <v>6030</v>
      </c>
      <c r="D262" s="1" t="s">
        <v>265</v>
      </c>
      <c r="E262" s="1" t="s">
        <v>143</v>
      </c>
      <c r="F262" s="1" t="s">
        <v>260</v>
      </c>
      <c r="G262" s="1" t="n">
        <v>6637.84</v>
      </c>
    </row>
    <row r="263" customFormat="false" ht="15" hidden="false" customHeight="true" outlineLevel="0" collapsed="false">
      <c r="A263" s="1" t="s">
        <v>280</v>
      </c>
      <c r="B263" s="1" t="s">
        <v>279</v>
      </c>
      <c r="C263" s="1" t="n">
        <v>6040</v>
      </c>
      <c r="D263" s="1" t="s">
        <v>266</v>
      </c>
      <c r="E263" s="1" t="s">
        <v>143</v>
      </c>
      <c r="F263" s="1" t="s">
        <v>260</v>
      </c>
      <c r="G263" s="1" t="n">
        <v>5078.19</v>
      </c>
    </row>
    <row r="264" customFormat="false" ht="15" hidden="false" customHeight="true" outlineLevel="0" collapsed="false">
      <c r="A264" s="1" t="s">
        <v>280</v>
      </c>
      <c r="B264" s="1" t="s">
        <v>279</v>
      </c>
      <c r="C264" s="1" t="n">
        <v>7000</v>
      </c>
      <c r="D264" s="1" t="s">
        <v>267</v>
      </c>
      <c r="E264" s="1" t="s">
        <v>143</v>
      </c>
      <c r="F264" s="1" t="s">
        <v>257</v>
      </c>
      <c r="G264" s="1" t="n">
        <v>7120.42</v>
      </c>
    </row>
    <row r="265" customFormat="false" ht="15" hidden="false" customHeight="true" outlineLevel="0" collapsed="false">
      <c r="A265" s="1" t="s">
        <v>280</v>
      </c>
      <c r="B265" s="1" t="s">
        <v>279</v>
      </c>
      <c r="C265" s="1" t="n">
        <v>8000</v>
      </c>
      <c r="D265" s="1" t="s">
        <v>268</v>
      </c>
      <c r="E265" s="1" t="s">
        <v>269</v>
      </c>
      <c r="F265" s="1" t="s">
        <v>254</v>
      </c>
      <c r="G265" s="1" t="n">
        <v>3251.81</v>
      </c>
    </row>
    <row r="266" customFormat="false" ht="15" hidden="false" customHeight="true" outlineLevel="0" collapsed="false">
      <c r="A266" s="1" t="s">
        <v>281</v>
      </c>
      <c r="B266" s="1" t="s">
        <v>252</v>
      </c>
      <c r="C266" s="1" t="n">
        <v>4000</v>
      </c>
      <c r="D266" s="1" t="s">
        <v>253</v>
      </c>
      <c r="E266" s="1" t="s">
        <v>52</v>
      </c>
      <c r="F266" s="1" t="s">
        <v>254</v>
      </c>
      <c r="G266" s="1" t="n">
        <v>423856.58</v>
      </c>
    </row>
    <row r="267" customFormat="false" ht="15" hidden="false" customHeight="true" outlineLevel="0" collapsed="false">
      <c r="A267" s="1" t="s">
        <v>281</v>
      </c>
      <c r="B267" s="1" t="s">
        <v>252</v>
      </c>
      <c r="C267" s="1" t="n">
        <v>4010</v>
      </c>
      <c r="D267" s="1" t="s">
        <v>255</v>
      </c>
      <c r="E267" s="1" t="s">
        <v>52</v>
      </c>
      <c r="F267" s="1" t="s">
        <v>254</v>
      </c>
      <c r="G267" s="1" t="n">
        <v>181652.82</v>
      </c>
    </row>
    <row r="268" customFormat="false" ht="15" hidden="false" customHeight="true" outlineLevel="0" collapsed="false">
      <c r="A268" s="1" t="s">
        <v>281</v>
      </c>
      <c r="B268" s="1" t="s">
        <v>252</v>
      </c>
      <c r="C268" s="1" t="n">
        <v>5000</v>
      </c>
      <c r="D268" s="1" t="s">
        <v>256</v>
      </c>
      <c r="E268" s="1" t="s">
        <v>140</v>
      </c>
      <c r="F268" s="1" t="s">
        <v>257</v>
      </c>
      <c r="G268" s="1" t="n">
        <v>193763.01</v>
      </c>
    </row>
    <row r="269" customFormat="false" ht="15" hidden="false" customHeight="true" outlineLevel="0" collapsed="false">
      <c r="A269" s="1" t="s">
        <v>281</v>
      </c>
      <c r="B269" s="1" t="s">
        <v>252</v>
      </c>
      <c r="C269" s="1" t="n">
        <v>5010</v>
      </c>
      <c r="D269" s="1" t="s">
        <v>258</v>
      </c>
      <c r="E269" s="1" t="s">
        <v>140</v>
      </c>
      <c r="F269" s="1" t="s">
        <v>257</v>
      </c>
      <c r="G269" s="1" t="n">
        <v>36330.56</v>
      </c>
    </row>
    <row r="270" customFormat="false" ht="15" hidden="false" customHeight="true" outlineLevel="0" collapsed="false">
      <c r="A270" s="1" t="s">
        <v>281</v>
      </c>
      <c r="B270" s="1" t="s">
        <v>252</v>
      </c>
      <c r="C270" s="1" t="n">
        <v>6000</v>
      </c>
      <c r="D270" s="1" t="s">
        <v>259</v>
      </c>
      <c r="E270" s="1" t="s">
        <v>143</v>
      </c>
      <c r="F270" s="1" t="s">
        <v>260</v>
      </c>
      <c r="G270" s="1" t="n">
        <v>93230.35</v>
      </c>
    </row>
    <row r="271" customFormat="false" ht="15" hidden="false" customHeight="true" outlineLevel="0" collapsed="false">
      <c r="A271" s="1" t="s">
        <v>281</v>
      </c>
      <c r="B271" s="1" t="s">
        <v>252</v>
      </c>
      <c r="C271" s="1" t="n">
        <v>6010</v>
      </c>
      <c r="D271" s="1" t="s">
        <v>261</v>
      </c>
      <c r="E271" s="1" t="s">
        <v>143</v>
      </c>
      <c r="F271" s="1" t="s">
        <v>262</v>
      </c>
      <c r="G271" s="1" t="n">
        <v>28928.95</v>
      </c>
    </row>
    <row r="272" customFormat="false" ht="15" hidden="false" customHeight="true" outlineLevel="0" collapsed="false">
      <c r="A272" s="1" t="s">
        <v>281</v>
      </c>
      <c r="B272" s="1" t="s">
        <v>252</v>
      </c>
      <c r="C272" s="1" t="n">
        <v>6020</v>
      </c>
      <c r="D272" s="1" t="s">
        <v>263</v>
      </c>
      <c r="E272" s="1" t="s">
        <v>143</v>
      </c>
      <c r="F272" s="1" t="s">
        <v>264</v>
      </c>
      <c r="G272" s="1" t="n">
        <v>14520.26</v>
      </c>
    </row>
    <row r="273" customFormat="false" ht="15" hidden="false" customHeight="true" outlineLevel="0" collapsed="false">
      <c r="A273" s="1" t="s">
        <v>281</v>
      </c>
      <c r="B273" s="1" t="s">
        <v>252</v>
      </c>
      <c r="C273" s="1" t="n">
        <v>6030</v>
      </c>
      <c r="D273" s="1" t="s">
        <v>265</v>
      </c>
      <c r="E273" s="1" t="s">
        <v>143</v>
      </c>
      <c r="F273" s="1" t="s">
        <v>260</v>
      </c>
      <c r="G273" s="1" t="n">
        <v>12063.5</v>
      </c>
    </row>
    <row r="274" customFormat="false" ht="15" hidden="false" customHeight="true" outlineLevel="0" collapsed="false">
      <c r="A274" s="1" t="s">
        <v>281</v>
      </c>
      <c r="B274" s="1" t="s">
        <v>252</v>
      </c>
      <c r="C274" s="1" t="n">
        <v>6040</v>
      </c>
      <c r="D274" s="1" t="s">
        <v>266</v>
      </c>
      <c r="E274" s="1" t="s">
        <v>143</v>
      </c>
      <c r="F274" s="1" t="s">
        <v>260</v>
      </c>
      <c r="G274" s="1" t="n">
        <v>9237.57</v>
      </c>
    </row>
    <row r="275" customFormat="false" ht="15" hidden="false" customHeight="true" outlineLevel="0" collapsed="false">
      <c r="A275" s="1" t="s">
        <v>281</v>
      </c>
      <c r="B275" s="1" t="s">
        <v>252</v>
      </c>
      <c r="C275" s="1" t="n">
        <v>7000</v>
      </c>
      <c r="D275" s="1" t="s">
        <v>267</v>
      </c>
      <c r="E275" s="1" t="s">
        <v>143</v>
      </c>
      <c r="F275" s="1" t="s">
        <v>257</v>
      </c>
      <c r="G275" s="1" t="n">
        <v>12277.73</v>
      </c>
    </row>
    <row r="276" customFormat="false" ht="15" hidden="false" customHeight="true" outlineLevel="0" collapsed="false">
      <c r="A276" s="1" t="s">
        <v>281</v>
      </c>
      <c r="B276" s="1" t="s">
        <v>252</v>
      </c>
      <c r="C276" s="1" t="n">
        <v>8000</v>
      </c>
      <c r="D276" s="1" t="s">
        <v>268</v>
      </c>
      <c r="E276" s="1" t="s">
        <v>269</v>
      </c>
      <c r="F276" s="1" t="s">
        <v>254</v>
      </c>
      <c r="G276" s="1" t="n">
        <v>6055.09</v>
      </c>
    </row>
    <row r="277" customFormat="false" ht="15" hidden="false" customHeight="true" outlineLevel="0" collapsed="false">
      <c r="A277" s="1" t="s">
        <v>281</v>
      </c>
      <c r="B277" s="1" t="s">
        <v>270</v>
      </c>
      <c r="C277" s="1" t="n">
        <v>4000</v>
      </c>
      <c r="D277" s="1" t="s">
        <v>253</v>
      </c>
      <c r="E277" s="1" t="s">
        <v>52</v>
      </c>
      <c r="F277" s="1" t="s">
        <v>254</v>
      </c>
      <c r="G277" s="1" t="n">
        <v>460782.99</v>
      </c>
    </row>
    <row r="278" customFormat="false" ht="15" hidden="false" customHeight="true" outlineLevel="0" collapsed="false">
      <c r="A278" s="1" t="s">
        <v>281</v>
      </c>
      <c r="B278" s="1" t="s">
        <v>270</v>
      </c>
      <c r="C278" s="1" t="n">
        <v>4010</v>
      </c>
      <c r="D278" s="1" t="s">
        <v>255</v>
      </c>
      <c r="E278" s="1" t="s">
        <v>52</v>
      </c>
      <c r="F278" s="1" t="s">
        <v>254</v>
      </c>
      <c r="G278" s="1" t="n">
        <v>197478.43</v>
      </c>
    </row>
    <row r="279" customFormat="false" ht="15" hidden="false" customHeight="true" outlineLevel="0" collapsed="false">
      <c r="A279" s="1" t="s">
        <v>281</v>
      </c>
      <c r="B279" s="1" t="s">
        <v>270</v>
      </c>
      <c r="C279" s="1" t="n">
        <v>5000</v>
      </c>
      <c r="D279" s="1" t="s">
        <v>256</v>
      </c>
      <c r="E279" s="1" t="s">
        <v>140</v>
      </c>
      <c r="F279" s="1" t="s">
        <v>257</v>
      </c>
      <c r="G279" s="1" t="n">
        <v>210643.65</v>
      </c>
    </row>
    <row r="280" customFormat="false" ht="15" hidden="false" customHeight="true" outlineLevel="0" collapsed="false">
      <c r="A280" s="1" t="s">
        <v>281</v>
      </c>
      <c r="B280" s="1" t="s">
        <v>270</v>
      </c>
      <c r="C280" s="1" t="n">
        <v>5010</v>
      </c>
      <c r="D280" s="1" t="s">
        <v>258</v>
      </c>
      <c r="E280" s="1" t="s">
        <v>140</v>
      </c>
      <c r="F280" s="1" t="s">
        <v>257</v>
      </c>
      <c r="G280" s="1" t="n">
        <v>39495.69</v>
      </c>
    </row>
    <row r="281" customFormat="false" ht="15" hidden="false" customHeight="true" outlineLevel="0" collapsed="false">
      <c r="A281" s="1" t="s">
        <v>281</v>
      </c>
      <c r="B281" s="1" t="s">
        <v>270</v>
      </c>
      <c r="C281" s="1" t="n">
        <v>6000</v>
      </c>
      <c r="D281" s="1" t="s">
        <v>259</v>
      </c>
      <c r="E281" s="1" t="s">
        <v>143</v>
      </c>
      <c r="F281" s="1" t="s">
        <v>260</v>
      </c>
      <c r="G281" s="1" t="n">
        <v>105390.3</v>
      </c>
    </row>
    <row r="282" customFormat="false" ht="15" hidden="false" customHeight="true" outlineLevel="0" collapsed="false">
      <c r="A282" s="1" t="s">
        <v>281</v>
      </c>
      <c r="B282" s="1" t="s">
        <v>270</v>
      </c>
      <c r="C282" s="1" t="n">
        <v>6010</v>
      </c>
      <c r="D282" s="1" t="s">
        <v>261</v>
      </c>
      <c r="E282" s="1" t="s">
        <v>143</v>
      </c>
      <c r="F282" s="1" t="s">
        <v>262</v>
      </c>
      <c r="G282" s="1" t="n">
        <v>35305.08</v>
      </c>
    </row>
    <row r="283" customFormat="false" ht="15" hidden="false" customHeight="true" outlineLevel="0" collapsed="false">
      <c r="A283" s="1" t="s">
        <v>281</v>
      </c>
      <c r="B283" s="1" t="s">
        <v>270</v>
      </c>
      <c r="C283" s="1" t="n">
        <v>6020</v>
      </c>
      <c r="D283" s="1" t="s">
        <v>263</v>
      </c>
      <c r="E283" s="1" t="s">
        <v>143</v>
      </c>
      <c r="F283" s="1" t="s">
        <v>264</v>
      </c>
      <c r="G283" s="1" t="n">
        <v>16238.77</v>
      </c>
    </row>
    <row r="284" customFormat="false" ht="15" hidden="false" customHeight="true" outlineLevel="0" collapsed="false">
      <c r="A284" s="1" t="s">
        <v>281</v>
      </c>
      <c r="B284" s="1" t="s">
        <v>270</v>
      </c>
      <c r="C284" s="1" t="n">
        <v>6030</v>
      </c>
      <c r="D284" s="1" t="s">
        <v>265</v>
      </c>
      <c r="E284" s="1" t="s">
        <v>143</v>
      </c>
      <c r="F284" s="1" t="s">
        <v>260</v>
      </c>
      <c r="G284" s="1" t="n">
        <v>14955.81</v>
      </c>
    </row>
    <row r="285" customFormat="false" ht="15" hidden="false" customHeight="true" outlineLevel="0" collapsed="false">
      <c r="A285" s="1" t="s">
        <v>281</v>
      </c>
      <c r="B285" s="1" t="s">
        <v>270</v>
      </c>
      <c r="C285" s="1" t="n">
        <v>6040</v>
      </c>
      <c r="D285" s="1" t="s">
        <v>266</v>
      </c>
      <c r="E285" s="1" t="s">
        <v>143</v>
      </c>
      <c r="F285" s="1" t="s">
        <v>260</v>
      </c>
      <c r="G285" s="1" t="n">
        <v>10182.81</v>
      </c>
    </row>
    <row r="286" customFormat="false" ht="15" hidden="false" customHeight="true" outlineLevel="0" collapsed="false">
      <c r="A286" s="1" t="s">
        <v>281</v>
      </c>
      <c r="B286" s="1" t="s">
        <v>270</v>
      </c>
      <c r="C286" s="1" t="n">
        <v>7000</v>
      </c>
      <c r="D286" s="1" t="s">
        <v>267</v>
      </c>
      <c r="E286" s="1" t="s">
        <v>143</v>
      </c>
      <c r="F286" s="1" t="s">
        <v>257</v>
      </c>
      <c r="G286" s="1" t="n">
        <v>12600.99</v>
      </c>
    </row>
    <row r="287" customFormat="false" ht="15" hidden="false" customHeight="true" outlineLevel="0" collapsed="false">
      <c r="A287" s="1" t="s">
        <v>281</v>
      </c>
      <c r="B287" s="1" t="s">
        <v>270</v>
      </c>
      <c r="C287" s="1" t="n">
        <v>8000</v>
      </c>
      <c r="D287" s="1" t="s">
        <v>268</v>
      </c>
      <c r="E287" s="1" t="s">
        <v>269</v>
      </c>
      <c r="F287" s="1" t="s">
        <v>254</v>
      </c>
      <c r="G287" s="1" t="n">
        <v>6582.61</v>
      </c>
    </row>
    <row r="288" customFormat="false" ht="15" hidden="false" customHeight="true" outlineLevel="0" collapsed="false">
      <c r="A288" s="1" t="s">
        <v>281</v>
      </c>
      <c r="B288" s="1" t="s">
        <v>271</v>
      </c>
      <c r="C288" s="1" t="n">
        <v>4000</v>
      </c>
      <c r="D288" s="1" t="s">
        <v>253</v>
      </c>
      <c r="E288" s="1" t="s">
        <v>52</v>
      </c>
      <c r="F288" s="1" t="s">
        <v>254</v>
      </c>
      <c r="G288" s="1" t="n">
        <v>455287.31</v>
      </c>
    </row>
    <row r="289" customFormat="false" ht="15" hidden="false" customHeight="true" outlineLevel="0" collapsed="false">
      <c r="A289" s="1" t="s">
        <v>281</v>
      </c>
      <c r="B289" s="1" t="s">
        <v>271</v>
      </c>
      <c r="C289" s="1" t="n">
        <v>4010</v>
      </c>
      <c r="D289" s="1" t="s">
        <v>255</v>
      </c>
      <c r="E289" s="1" t="s">
        <v>52</v>
      </c>
      <c r="F289" s="1" t="s">
        <v>254</v>
      </c>
      <c r="G289" s="1" t="n">
        <v>195123.13</v>
      </c>
    </row>
    <row r="290" customFormat="false" ht="15" hidden="false" customHeight="true" outlineLevel="0" collapsed="false">
      <c r="A290" s="1" t="s">
        <v>281</v>
      </c>
      <c r="B290" s="1" t="s">
        <v>271</v>
      </c>
      <c r="C290" s="1" t="n">
        <v>5000</v>
      </c>
      <c r="D290" s="1" t="s">
        <v>256</v>
      </c>
      <c r="E290" s="1" t="s">
        <v>140</v>
      </c>
      <c r="F290" s="1" t="s">
        <v>257</v>
      </c>
      <c r="G290" s="1" t="n">
        <v>208131.34</v>
      </c>
    </row>
    <row r="291" customFormat="false" ht="15" hidden="false" customHeight="true" outlineLevel="0" collapsed="false">
      <c r="A291" s="1" t="s">
        <v>281</v>
      </c>
      <c r="B291" s="1" t="s">
        <v>271</v>
      </c>
      <c r="C291" s="1" t="n">
        <v>5010</v>
      </c>
      <c r="D291" s="1" t="s">
        <v>258</v>
      </c>
      <c r="E291" s="1" t="s">
        <v>140</v>
      </c>
      <c r="F291" s="1" t="s">
        <v>257</v>
      </c>
      <c r="G291" s="1" t="n">
        <v>39024.63</v>
      </c>
    </row>
    <row r="292" customFormat="false" ht="15" hidden="false" customHeight="true" outlineLevel="0" collapsed="false">
      <c r="A292" s="1" t="s">
        <v>281</v>
      </c>
      <c r="B292" s="1" t="s">
        <v>271</v>
      </c>
      <c r="C292" s="1" t="n">
        <v>6000</v>
      </c>
      <c r="D292" s="1" t="s">
        <v>259</v>
      </c>
      <c r="E292" s="1" t="s">
        <v>143</v>
      </c>
      <c r="F292" s="1" t="s">
        <v>260</v>
      </c>
      <c r="G292" s="1" t="n">
        <v>106576.11</v>
      </c>
    </row>
    <row r="293" customFormat="false" ht="15" hidden="false" customHeight="true" outlineLevel="0" collapsed="false">
      <c r="A293" s="1" t="s">
        <v>281</v>
      </c>
      <c r="B293" s="1" t="s">
        <v>271</v>
      </c>
      <c r="C293" s="1" t="n">
        <v>6010</v>
      </c>
      <c r="D293" s="1" t="s">
        <v>261</v>
      </c>
      <c r="E293" s="1" t="s">
        <v>143</v>
      </c>
      <c r="F293" s="1" t="s">
        <v>262</v>
      </c>
      <c r="G293" s="1" t="n">
        <v>32157.17</v>
      </c>
    </row>
    <row r="294" customFormat="false" ht="15" hidden="false" customHeight="true" outlineLevel="0" collapsed="false">
      <c r="A294" s="1" t="s">
        <v>281</v>
      </c>
      <c r="B294" s="1" t="s">
        <v>271</v>
      </c>
      <c r="C294" s="1" t="n">
        <v>6020</v>
      </c>
      <c r="D294" s="1" t="s">
        <v>263</v>
      </c>
      <c r="E294" s="1" t="s">
        <v>143</v>
      </c>
      <c r="F294" s="1" t="s">
        <v>264</v>
      </c>
      <c r="G294" s="1" t="n">
        <v>16840.75</v>
      </c>
    </row>
    <row r="295" customFormat="false" ht="15" hidden="false" customHeight="true" outlineLevel="0" collapsed="false">
      <c r="A295" s="1" t="s">
        <v>281</v>
      </c>
      <c r="B295" s="1" t="s">
        <v>271</v>
      </c>
      <c r="C295" s="1" t="n">
        <v>6030</v>
      </c>
      <c r="D295" s="1" t="s">
        <v>265</v>
      </c>
      <c r="E295" s="1" t="s">
        <v>143</v>
      </c>
      <c r="F295" s="1" t="s">
        <v>260</v>
      </c>
      <c r="G295" s="1" t="n">
        <v>13316.01</v>
      </c>
    </row>
    <row r="296" customFormat="false" ht="15" hidden="false" customHeight="true" outlineLevel="0" collapsed="false">
      <c r="A296" s="1" t="s">
        <v>281</v>
      </c>
      <c r="B296" s="1" t="s">
        <v>271</v>
      </c>
      <c r="C296" s="1" t="n">
        <v>6040</v>
      </c>
      <c r="D296" s="1" t="s">
        <v>266</v>
      </c>
      <c r="E296" s="1" t="s">
        <v>143</v>
      </c>
      <c r="F296" s="1" t="s">
        <v>260</v>
      </c>
      <c r="G296" s="1" t="n">
        <v>9720.63</v>
      </c>
    </row>
    <row r="297" customFormat="false" ht="15" hidden="false" customHeight="true" outlineLevel="0" collapsed="false">
      <c r="A297" s="1" t="s">
        <v>281</v>
      </c>
      <c r="B297" s="1" t="s">
        <v>271</v>
      </c>
      <c r="C297" s="1" t="n">
        <v>7000</v>
      </c>
      <c r="D297" s="1" t="s">
        <v>267</v>
      </c>
      <c r="E297" s="1" t="s">
        <v>143</v>
      </c>
      <c r="F297" s="1" t="s">
        <v>257</v>
      </c>
      <c r="G297" s="1" t="n">
        <v>12457.45</v>
      </c>
    </row>
    <row r="298" customFormat="false" ht="15" hidden="false" customHeight="true" outlineLevel="0" collapsed="false">
      <c r="A298" s="1" t="s">
        <v>281</v>
      </c>
      <c r="B298" s="1" t="s">
        <v>271</v>
      </c>
      <c r="C298" s="1" t="n">
        <v>8000</v>
      </c>
      <c r="D298" s="1" t="s">
        <v>268</v>
      </c>
      <c r="E298" s="1" t="s">
        <v>269</v>
      </c>
      <c r="F298" s="1" t="s">
        <v>254</v>
      </c>
      <c r="G298" s="1" t="n">
        <v>6504.1</v>
      </c>
    </row>
    <row r="299" customFormat="false" ht="15" hidden="false" customHeight="true" outlineLevel="0" collapsed="false">
      <c r="A299" s="1" t="s">
        <v>281</v>
      </c>
      <c r="B299" s="1" t="s">
        <v>272</v>
      </c>
      <c r="C299" s="1" t="n">
        <v>4000</v>
      </c>
      <c r="D299" s="1" t="s">
        <v>253</v>
      </c>
      <c r="E299" s="1" t="s">
        <v>52</v>
      </c>
      <c r="F299" s="1" t="s">
        <v>254</v>
      </c>
      <c r="G299" s="1" t="n">
        <v>461544.35</v>
      </c>
    </row>
    <row r="300" customFormat="false" ht="15" hidden="false" customHeight="true" outlineLevel="0" collapsed="false">
      <c r="A300" s="1" t="s">
        <v>281</v>
      </c>
      <c r="B300" s="1" t="s">
        <v>272</v>
      </c>
      <c r="C300" s="1" t="n">
        <v>4010</v>
      </c>
      <c r="D300" s="1" t="s">
        <v>255</v>
      </c>
      <c r="E300" s="1" t="s">
        <v>52</v>
      </c>
      <c r="F300" s="1" t="s">
        <v>254</v>
      </c>
      <c r="G300" s="1" t="n">
        <v>197804.72</v>
      </c>
    </row>
    <row r="301" customFormat="false" ht="15" hidden="false" customHeight="true" outlineLevel="0" collapsed="false">
      <c r="A301" s="1" t="s">
        <v>281</v>
      </c>
      <c r="B301" s="1" t="s">
        <v>272</v>
      </c>
      <c r="C301" s="1" t="n">
        <v>5000</v>
      </c>
      <c r="D301" s="1" t="s">
        <v>256</v>
      </c>
      <c r="E301" s="1" t="s">
        <v>140</v>
      </c>
      <c r="F301" s="1" t="s">
        <v>257</v>
      </c>
      <c r="G301" s="1" t="n">
        <v>210991.7</v>
      </c>
    </row>
    <row r="302" customFormat="false" ht="15" hidden="false" customHeight="true" outlineLevel="0" collapsed="false">
      <c r="A302" s="1" t="s">
        <v>281</v>
      </c>
      <c r="B302" s="1" t="s">
        <v>272</v>
      </c>
      <c r="C302" s="1" t="n">
        <v>5010</v>
      </c>
      <c r="D302" s="1" t="s">
        <v>258</v>
      </c>
      <c r="E302" s="1" t="s">
        <v>140</v>
      </c>
      <c r="F302" s="1" t="s">
        <v>257</v>
      </c>
      <c r="G302" s="1" t="n">
        <v>39560.94</v>
      </c>
    </row>
    <row r="303" customFormat="false" ht="15" hidden="false" customHeight="true" outlineLevel="0" collapsed="false">
      <c r="A303" s="1" t="s">
        <v>281</v>
      </c>
      <c r="B303" s="1" t="s">
        <v>272</v>
      </c>
      <c r="C303" s="1" t="n">
        <v>6000</v>
      </c>
      <c r="D303" s="1" t="s">
        <v>259</v>
      </c>
      <c r="E303" s="1" t="s">
        <v>143</v>
      </c>
      <c r="F303" s="1" t="s">
        <v>260</v>
      </c>
      <c r="G303" s="1" t="n">
        <v>103140.58</v>
      </c>
    </row>
    <row r="304" customFormat="false" ht="15" hidden="false" customHeight="true" outlineLevel="0" collapsed="false">
      <c r="A304" s="1" t="s">
        <v>281</v>
      </c>
      <c r="B304" s="1" t="s">
        <v>272</v>
      </c>
      <c r="C304" s="1" t="n">
        <v>6010</v>
      </c>
      <c r="D304" s="1" t="s">
        <v>261</v>
      </c>
      <c r="E304" s="1" t="s">
        <v>143</v>
      </c>
      <c r="F304" s="1" t="s">
        <v>262</v>
      </c>
      <c r="G304" s="1" t="n">
        <v>34379.12</v>
      </c>
    </row>
    <row r="305" customFormat="false" ht="15" hidden="false" customHeight="true" outlineLevel="0" collapsed="false">
      <c r="A305" s="1" t="s">
        <v>281</v>
      </c>
      <c r="B305" s="1" t="s">
        <v>272</v>
      </c>
      <c r="C305" s="1" t="n">
        <v>6020</v>
      </c>
      <c r="D305" s="1" t="s">
        <v>263</v>
      </c>
      <c r="E305" s="1" t="s">
        <v>143</v>
      </c>
      <c r="F305" s="1" t="s">
        <v>264</v>
      </c>
      <c r="G305" s="1" t="n">
        <v>16660.18</v>
      </c>
    </row>
    <row r="306" customFormat="false" ht="15" hidden="false" customHeight="true" outlineLevel="0" collapsed="false">
      <c r="A306" s="1" t="s">
        <v>281</v>
      </c>
      <c r="B306" s="1" t="s">
        <v>272</v>
      </c>
      <c r="C306" s="1" t="n">
        <v>6030</v>
      </c>
      <c r="D306" s="1" t="s">
        <v>265</v>
      </c>
      <c r="E306" s="1" t="s">
        <v>143</v>
      </c>
      <c r="F306" s="1" t="s">
        <v>260</v>
      </c>
      <c r="G306" s="1" t="n">
        <v>12365.6</v>
      </c>
    </row>
    <row r="307" customFormat="false" ht="15" hidden="false" customHeight="true" outlineLevel="0" collapsed="false">
      <c r="A307" s="1" t="s">
        <v>281</v>
      </c>
      <c r="B307" s="1" t="s">
        <v>272</v>
      </c>
      <c r="C307" s="1" t="n">
        <v>6040</v>
      </c>
      <c r="D307" s="1" t="s">
        <v>266</v>
      </c>
      <c r="E307" s="1" t="s">
        <v>143</v>
      </c>
      <c r="F307" s="1" t="s">
        <v>260</v>
      </c>
      <c r="G307" s="1" t="n">
        <v>9975.88</v>
      </c>
    </row>
    <row r="308" customFormat="false" ht="15" hidden="false" customHeight="true" outlineLevel="0" collapsed="false">
      <c r="A308" s="1" t="s">
        <v>281</v>
      </c>
      <c r="B308" s="1" t="s">
        <v>272</v>
      </c>
      <c r="C308" s="1" t="n">
        <v>7000</v>
      </c>
      <c r="D308" s="1" t="s">
        <v>267</v>
      </c>
      <c r="E308" s="1" t="s">
        <v>143</v>
      </c>
      <c r="F308" s="1" t="s">
        <v>257</v>
      </c>
      <c r="G308" s="1" t="n">
        <v>13441.04</v>
      </c>
    </row>
    <row r="309" customFormat="false" ht="15" hidden="false" customHeight="true" outlineLevel="0" collapsed="false">
      <c r="A309" s="1" t="s">
        <v>281</v>
      </c>
      <c r="B309" s="1" t="s">
        <v>272</v>
      </c>
      <c r="C309" s="1" t="n">
        <v>8000</v>
      </c>
      <c r="D309" s="1" t="s">
        <v>268</v>
      </c>
      <c r="E309" s="1" t="s">
        <v>269</v>
      </c>
      <c r="F309" s="1" t="s">
        <v>254</v>
      </c>
      <c r="G309" s="1" t="n">
        <v>6593.49</v>
      </c>
    </row>
    <row r="310" customFormat="false" ht="15" hidden="false" customHeight="true" outlineLevel="0" collapsed="false">
      <c r="A310" s="1" t="s">
        <v>281</v>
      </c>
      <c r="B310" s="1" t="s">
        <v>273</v>
      </c>
      <c r="C310" s="1" t="n">
        <v>4000</v>
      </c>
      <c r="D310" s="1" t="s">
        <v>253</v>
      </c>
      <c r="E310" s="1" t="s">
        <v>52</v>
      </c>
      <c r="F310" s="1" t="s">
        <v>254</v>
      </c>
      <c r="G310" s="1" t="n">
        <v>473543.75</v>
      </c>
    </row>
    <row r="311" customFormat="false" ht="15" hidden="false" customHeight="true" outlineLevel="0" collapsed="false">
      <c r="A311" s="1" t="s">
        <v>281</v>
      </c>
      <c r="B311" s="1" t="s">
        <v>273</v>
      </c>
      <c r="C311" s="1" t="n">
        <v>4010</v>
      </c>
      <c r="D311" s="1" t="s">
        <v>255</v>
      </c>
      <c r="E311" s="1" t="s">
        <v>52</v>
      </c>
      <c r="F311" s="1" t="s">
        <v>254</v>
      </c>
      <c r="G311" s="1" t="n">
        <v>202947.32</v>
      </c>
    </row>
    <row r="312" customFormat="false" ht="15" hidden="false" customHeight="true" outlineLevel="0" collapsed="false">
      <c r="A312" s="1" t="s">
        <v>281</v>
      </c>
      <c r="B312" s="1" t="s">
        <v>273</v>
      </c>
      <c r="C312" s="1" t="n">
        <v>5000</v>
      </c>
      <c r="D312" s="1" t="s">
        <v>256</v>
      </c>
      <c r="E312" s="1" t="s">
        <v>140</v>
      </c>
      <c r="F312" s="1" t="s">
        <v>257</v>
      </c>
      <c r="G312" s="1" t="n">
        <v>216477.14</v>
      </c>
    </row>
    <row r="313" customFormat="false" ht="15" hidden="false" customHeight="true" outlineLevel="0" collapsed="false">
      <c r="A313" s="1" t="s">
        <v>281</v>
      </c>
      <c r="B313" s="1" t="s">
        <v>273</v>
      </c>
      <c r="C313" s="1" t="n">
        <v>5010</v>
      </c>
      <c r="D313" s="1" t="s">
        <v>258</v>
      </c>
      <c r="E313" s="1" t="s">
        <v>140</v>
      </c>
      <c r="F313" s="1" t="s">
        <v>257</v>
      </c>
      <c r="G313" s="1" t="n">
        <v>40589.46</v>
      </c>
    </row>
    <row r="314" customFormat="false" ht="15" hidden="false" customHeight="true" outlineLevel="0" collapsed="false">
      <c r="A314" s="1" t="s">
        <v>281</v>
      </c>
      <c r="B314" s="1" t="s">
        <v>273</v>
      </c>
      <c r="C314" s="1" t="n">
        <v>6000</v>
      </c>
      <c r="D314" s="1" t="s">
        <v>259</v>
      </c>
      <c r="E314" s="1" t="s">
        <v>143</v>
      </c>
      <c r="F314" s="1" t="s">
        <v>260</v>
      </c>
      <c r="G314" s="1" t="n">
        <v>109070.52</v>
      </c>
    </row>
    <row r="315" customFormat="false" ht="15" hidden="false" customHeight="true" outlineLevel="0" collapsed="false">
      <c r="A315" s="1" t="s">
        <v>281</v>
      </c>
      <c r="B315" s="1" t="s">
        <v>273</v>
      </c>
      <c r="C315" s="1" t="n">
        <v>6010</v>
      </c>
      <c r="D315" s="1" t="s">
        <v>261</v>
      </c>
      <c r="E315" s="1" t="s">
        <v>143</v>
      </c>
      <c r="F315" s="1" t="s">
        <v>262</v>
      </c>
      <c r="G315" s="1" t="n">
        <v>33923</v>
      </c>
    </row>
    <row r="316" customFormat="false" ht="15" hidden="false" customHeight="true" outlineLevel="0" collapsed="false">
      <c r="A316" s="1" t="s">
        <v>281</v>
      </c>
      <c r="B316" s="1" t="s">
        <v>273</v>
      </c>
      <c r="C316" s="1" t="n">
        <v>6020</v>
      </c>
      <c r="D316" s="1" t="s">
        <v>263</v>
      </c>
      <c r="E316" s="1" t="s">
        <v>143</v>
      </c>
      <c r="F316" s="1" t="s">
        <v>264</v>
      </c>
      <c r="G316" s="1" t="n">
        <v>15945.77</v>
      </c>
    </row>
    <row r="317" customFormat="false" ht="15" hidden="false" customHeight="true" outlineLevel="0" collapsed="false">
      <c r="A317" s="1" t="s">
        <v>281</v>
      </c>
      <c r="B317" s="1" t="s">
        <v>273</v>
      </c>
      <c r="C317" s="1" t="n">
        <v>6030</v>
      </c>
      <c r="D317" s="1" t="s">
        <v>265</v>
      </c>
      <c r="E317" s="1" t="s">
        <v>143</v>
      </c>
      <c r="F317" s="1" t="s">
        <v>260</v>
      </c>
      <c r="G317" s="1" t="n">
        <v>13771.86</v>
      </c>
    </row>
    <row r="318" customFormat="false" ht="15" hidden="false" customHeight="true" outlineLevel="0" collapsed="false">
      <c r="A318" s="1" t="s">
        <v>281</v>
      </c>
      <c r="B318" s="1" t="s">
        <v>273</v>
      </c>
      <c r="C318" s="1" t="n">
        <v>6040</v>
      </c>
      <c r="D318" s="1" t="s">
        <v>266</v>
      </c>
      <c r="E318" s="1" t="s">
        <v>143</v>
      </c>
      <c r="F318" s="1" t="s">
        <v>260</v>
      </c>
      <c r="G318" s="1" t="n">
        <v>10431.89</v>
      </c>
    </row>
    <row r="319" customFormat="false" ht="15" hidden="false" customHeight="true" outlineLevel="0" collapsed="false">
      <c r="A319" s="1" t="s">
        <v>281</v>
      </c>
      <c r="B319" s="1" t="s">
        <v>273</v>
      </c>
      <c r="C319" s="1" t="n">
        <v>7000</v>
      </c>
      <c r="D319" s="1" t="s">
        <v>267</v>
      </c>
      <c r="E319" s="1" t="s">
        <v>143</v>
      </c>
      <c r="F319" s="1" t="s">
        <v>257</v>
      </c>
      <c r="G319" s="1" t="n">
        <v>14262.5</v>
      </c>
    </row>
    <row r="320" customFormat="false" ht="15" hidden="false" customHeight="true" outlineLevel="0" collapsed="false">
      <c r="A320" s="1" t="s">
        <v>281</v>
      </c>
      <c r="B320" s="1" t="s">
        <v>273</v>
      </c>
      <c r="C320" s="1" t="n">
        <v>8000</v>
      </c>
      <c r="D320" s="1" t="s">
        <v>268</v>
      </c>
      <c r="E320" s="1" t="s">
        <v>269</v>
      </c>
      <c r="F320" s="1" t="s">
        <v>254</v>
      </c>
      <c r="G320" s="1" t="n">
        <v>6764.91</v>
      </c>
    </row>
    <row r="321" customFormat="false" ht="15" hidden="false" customHeight="true" outlineLevel="0" collapsed="false">
      <c r="A321" s="1" t="s">
        <v>281</v>
      </c>
      <c r="B321" s="1" t="s">
        <v>129</v>
      </c>
      <c r="C321" s="1" t="n">
        <v>4000</v>
      </c>
      <c r="D321" s="1" t="s">
        <v>253</v>
      </c>
      <c r="E321" s="1" t="s">
        <v>52</v>
      </c>
      <c r="F321" s="1" t="s">
        <v>254</v>
      </c>
      <c r="G321" s="1" t="n">
        <v>495513.74</v>
      </c>
    </row>
    <row r="322" customFormat="false" ht="15" hidden="false" customHeight="true" outlineLevel="0" collapsed="false">
      <c r="A322" s="1" t="s">
        <v>281</v>
      </c>
      <c r="B322" s="1" t="s">
        <v>129</v>
      </c>
      <c r="C322" s="1" t="n">
        <v>4010</v>
      </c>
      <c r="D322" s="1" t="s">
        <v>255</v>
      </c>
      <c r="E322" s="1" t="s">
        <v>52</v>
      </c>
      <c r="F322" s="1" t="s">
        <v>254</v>
      </c>
      <c r="G322" s="1" t="n">
        <v>212363.03</v>
      </c>
    </row>
    <row r="323" customFormat="false" ht="15" hidden="false" customHeight="true" outlineLevel="0" collapsed="false">
      <c r="A323" s="1" t="s">
        <v>281</v>
      </c>
      <c r="B323" s="1" t="s">
        <v>129</v>
      </c>
      <c r="C323" s="1" t="n">
        <v>5000</v>
      </c>
      <c r="D323" s="1" t="s">
        <v>256</v>
      </c>
      <c r="E323" s="1" t="s">
        <v>140</v>
      </c>
      <c r="F323" s="1" t="s">
        <v>257</v>
      </c>
      <c r="G323" s="1" t="n">
        <v>226520.57</v>
      </c>
    </row>
    <row r="324" customFormat="false" ht="15" hidden="false" customHeight="true" outlineLevel="0" collapsed="false">
      <c r="A324" s="1" t="s">
        <v>281</v>
      </c>
      <c r="B324" s="1" t="s">
        <v>129</v>
      </c>
      <c r="C324" s="1" t="n">
        <v>5010</v>
      </c>
      <c r="D324" s="1" t="s">
        <v>258</v>
      </c>
      <c r="E324" s="1" t="s">
        <v>140</v>
      </c>
      <c r="F324" s="1" t="s">
        <v>257</v>
      </c>
      <c r="G324" s="1" t="n">
        <v>42472.61</v>
      </c>
    </row>
    <row r="325" customFormat="false" ht="15" hidden="false" customHeight="true" outlineLevel="0" collapsed="false">
      <c r="A325" s="1" t="s">
        <v>281</v>
      </c>
      <c r="B325" s="1" t="s">
        <v>129</v>
      </c>
      <c r="C325" s="1" t="n">
        <v>6000</v>
      </c>
      <c r="D325" s="1" t="s">
        <v>259</v>
      </c>
      <c r="E325" s="1" t="s">
        <v>143</v>
      </c>
      <c r="F325" s="1" t="s">
        <v>260</v>
      </c>
      <c r="G325" s="1" t="n">
        <v>105458.52</v>
      </c>
    </row>
    <row r="326" customFormat="false" ht="15" hidden="false" customHeight="true" outlineLevel="0" collapsed="false">
      <c r="A326" s="1" t="s">
        <v>281</v>
      </c>
      <c r="B326" s="1" t="s">
        <v>129</v>
      </c>
      <c r="C326" s="1" t="n">
        <v>6010</v>
      </c>
      <c r="D326" s="1" t="s">
        <v>261</v>
      </c>
      <c r="E326" s="1" t="s">
        <v>143</v>
      </c>
      <c r="F326" s="1" t="s">
        <v>262</v>
      </c>
      <c r="G326" s="1" t="n">
        <v>33734.18</v>
      </c>
    </row>
    <row r="327" customFormat="false" ht="15" hidden="false" customHeight="true" outlineLevel="0" collapsed="false">
      <c r="A327" s="1" t="s">
        <v>281</v>
      </c>
      <c r="B327" s="1" t="s">
        <v>129</v>
      </c>
      <c r="C327" s="1" t="n">
        <v>6020</v>
      </c>
      <c r="D327" s="1" t="s">
        <v>263</v>
      </c>
      <c r="E327" s="1" t="s">
        <v>143</v>
      </c>
      <c r="F327" s="1" t="s">
        <v>264</v>
      </c>
      <c r="G327" s="1" t="n">
        <v>18152.65</v>
      </c>
    </row>
    <row r="328" customFormat="false" ht="15" hidden="false" customHeight="true" outlineLevel="0" collapsed="false">
      <c r="A328" s="1" t="s">
        <v>281</v>
      </c>
      <c r="B328" s="1" t="s">
        <v>129</v>
      </c>
      <c r="C328" s="1" t="n">
        <v>6030</v>
      </c>
      <c r="D328" s="1" t="s">
        <v>265</v>
      </c>
      <c r="E328" s="1" t="s">
        <v>143</v>
      </c>
      <c r="F328" s="1" t="s">
        <v>260</v>
      </c>
      <c r="G328" s="1" t="n">
        <v>14521.23</v>
      </c>
    </row>
    <row r="329" customFormat="false" ht="15" hidden="false" customHeight="true" outlineLevel="0" collapsed="false">
      <c r="A329" s="1" t="s">
        <v>281</v>
      </c>
      <c r="B329" s="1" t="s">
        <v>129</v>
      </c>
      <c r="C329" s="1" t="n">
        <v>6040</v>
      </c>
      <c r="D329" s="1" t="s">
        <v>266</v>
      </c>
      <c r="E329" s="1" t="s">
        <v>143</v>
      </c>
      <c r="F329" s="1" t="s">
        <v>260</v>
      </c>
      <c r="G329" s="1" t="n">
        <v>10891.59</v>
      </c>
    </row>
    <row r="330" customFormat="false" ht="15" hidden="false" customHeight="true" outlineLevel="0" collapsed="false">
      <c r="A330" s="1" t="s">
        <v>281</v>
      </c>
      <c r="B330" s="1" t="s">
        <v>129</v>
      </c>
      <c r="C330" s="1" t="n">
        <v>7000</v>
      </c>
      <c r="D330" s="1" t="s">
        <v>267</v>
      </c>
      <c r="E330" s="1" t="s">
        <v>143</v>
      </c>
      <c r="F330" s="1" t="s">
        <v>257</v>
      </c>
      <c r="G330" s="1" t="n">
        <v>16884.79</v>
      </c>
    </row>
    <row r="331" customFormat="false" ht="15" hidden="false" customHeight="true" outlineLevel="0" collapsed="false">
      <c r="A331" s="1" t="s">
        <v>281</v>
      </c>
      <c r="B331" s="1" t="s">
        <v>129</v>
      </c>
      <c r="C331" s="1" t="n">
        <v>8000</v>
      </c>
      <c r="D331" s="1" t="s">
        <v>268</v>
      </c>
      <c r="E331" s="1" t="s">
        <v>269</v>
      </c>
      <c r="F331" s="1" t="s">
        <v>254</v>
      </c>
      <c r="G331" s="1" t="n">
        <v>7078.77</v>
      </c>
    </row>
    <row r="332" customFormat="false" ht="15" hidden="false" customHeight="true" outlineLevel="0" collapsed="false">
      <c r="A332" s="1" t="s">
        <v>281</v>
      </c>
      <c r="B332" s="1" t="s">
        <v>274</v>
      </c>
      <c r="C332" s="1" t="n">
        <v>4000</v>
      </c>
      <c r="D332" s="1" t="s">
        <v>253</v>
      </c>
      <c r="E332" s="1" t="s">
        <v>52</v>
      </c>
      <c r="F332" s="1" t="s">
        <v>254</v>
      </c>
      <c r="G332" s="1" t="n">
        <v>478655.81</v>
      </c>
    </row>
    <row r="333" customFormat="false" ht="15" hidden="false" customHeight="true" outlineLevel="0" collapsed="false">
      <c r="A333" s="1" t="s">
        <v>281</v>
      </c>
      <c r="B333" s="1" t="s">
        <v>274</v>
      </c>
      <c r="C333" s="1" t="n">
        <v>4010</v>
      </c>
      <c r="D333" s="1" t="s">
        <v>255</v>
      </c>
      <c r="E333" s="1" t="s">
        <v>52</v>
      </c>
      <c r="F333" s="1" t="s">
        <v>254</v>
      </c>
      <c r="G333" s="1" t="n">
        <v>205138.2</v>
      </c>
    </row>
    <row r="334" customFormat="false" ht="15" hidden="false" customHeight="true" outlineLevel="0" collapsed="false">
      <c r="A334" s="1" t="s">
        <v>281</v>
      </c>
      <c r="B334" s="1" t="s">
        <v>274</v>
      </c>
      <c r="C334" s="1" t="n">
        <v>5000</v>
      </c>
      <c r="D334" s="1" t="s">
        <v>256</v>
      </c>
      <c r="E334" s="1" t="s">
        <v>140</v>
      </c>
      <c r="F334" s="1" t="s">
        <v>257</v>
      </c>
      <c r="G334" s="1" t="n">
        <v>218814.08</v>
      </c>
    </row>
    <row r="335" customFormat="false" ht="15" hidden="false" customHeight="true" outlineLevel="0" collapsed="false">
      <c r="A335" s="1" t="s">
        <v>281</v>
      </c>
      <c r="B335" s="1" t="s">
        <v>274</v>
      </c>
      <c r="C335" s="1" t="n">
        <v>5010</v>
      </c>
      <c r="D335" s="1" t="s">
        <v>258</v>
      </c>
      <c r="E335" s="1" t="s">
        <v>140</v>
      </c>
      <c r="F335" s="1" t="s">
        <v>257</v>
      </c>
      <c r="G335" s="1" t="n">
        <v>41027.64</v>
      </c>
    </row>
    <row r="336" customFormat="false" ht="15" hidden="false" customHeight="true" outlineLevel="0" collapsed="false">
      <c r="A336" s="1" t="s">
        <v>281</v>
      </c>
      <c r="B336" s="1" t="s">
        <v>274</v>
      </c>
      <c r="C336" s="1" t="n">
        <v>6000</v>
      </c>
      <c r="D336" s="1" t="s">
        <v>259</v>
      </c>
      <c r="E336" s="1" t="s">
        <v>143</v>
      </c>
      <c r="F336" s="1" t="s">
        <v>260</v>
      </c>
      <c r="G336" s="1" t="n">
        <v>115618.99</v>
      </c>
    </row>
    <row r="337" customFormat="false" ht="15" hidden="false" customHeight="true" outlineLevel="0" collapsed="false">
      <c r="A337" s="1" t="s">
        <v>281</v>
      </c>
      <c r="B337" s="1" t="s">
        <v>274</v>
      </c>
      <c r="C337" s="1" t="n">
        <v>6010</v>
      </c>
      <c r="D337" s="1" t="s">
        <v>261</v>
      </c>
      <c r="E337" s="1" t="s">
        <v>143</v>
      </c>
      <c r="F337" s="1" t="s">
        <v>262</v>
      </c>
      <c r="G337" s="1" t="n">
        <v>35820.55</v>
      </c>
    </row>
    <row r="338" customFormat="false" ht="15" hidden="false" customHeight="true" outlineLevel="0" collapsed="false">
      <c r="A338" s="1" t="s">
        <v>281</v>
      </c>
      <c r="B338" s="1" t="s">
        <v>274</v>
      </c>
      <c r="C338" s="1" t="n">
        <v>6020</v>
      </c>
      <c r="D338" s="1" t="s">
        <v>263</v>
      </c>
      <c r="E338" s="1" t="s">
        <v>143</v>
      </c>
      <c r="F338" s="1" t="s">
        <v>264</v>
      </c>
      <c r="G338" s="1" t="n">
        <v>17651.62</v>
      </c>
    </row>
    <row r="339" customFormat="false" ht="15" hidden="false" customHeight="true" outlineLevel="0" collapsed="false">
      <c r="A339" s="1" t="s">
        <v>281</v>
      </c>
      <c r="B339" s="1" t="s">
        <v>274</v>
      </c>
      <c r="C339" s="1" t="n">
        <v>6030</v>
      </c>
      <c r="D339" s="1" t="s">
        <v>265</v>
      </c>
      <c r="E339" s="1" t="s">
        <v>143</v>
      </c>
      <c r="F339" s="1" t="s">
        <v>260</v>
      </c>
      <c r="G339" s="1" t="n">
        <v>13460.3</v>
      </c>
    </row>
    <row r="340" customFormat="false" ht="15" hidden="false" customHeight="true" outlineLevel="0" collapsed="false">
      <c r="A340" s="1" t="s">
        <v>281</v>
      </c>
      <c r="B340" s="1" t="s">
        <v>274</v>
      </c>
      <c r="C340" s="1" t="n">
        <v>6040</v>
      </c>
      <c r="D340" s="1" t="s">
        <v>266</v>
      </c>
      <c r="E340" s="1" t="s">
        <v>143</v>
      </c>
      <c r="F340" s="1" t="s">
        <v>260</v>
      </c>
      <c r="G340" s="1" t="n">
        <v>10646.14</v>
      </c>
    </row>
    <row r="341" customFormat="false" ht="15" hidden="false" customHeight="true" outlineLevel="0" collapsed="false">
      <c r="A341" s="1" t="s">
        <v>281</v>
      </c>
      <c r="B341" s="1" t="s">
        <v>274</v>
      </c>
      <c r="C341" s="1" t="n">
        <v>7000</v>
      </c>
      <c r="D341" s="1" t="s">
        <v>267</v>
      </c>
      <c r="E341" s="1" t="s">
        <v>143</v>
      </c>
      <c r="F341" s="1" t="s">
        <v>257</v>
      </c>
      <c r="G341" s="1" t="n">
        <v>13147.43</v>
      </c>
    </row>
    <row r="342" customFormat="false" ht="15" hidden="false" customHeight="true" outlineLevel="0" collapsed="false">
      <c r="A342" s="1" t="s">
        <v>281</v>
      </c>
      <c r="B342" s="1" t="s">
        <v>274</v>
      </c>
      <c r="C342" s="1" t="n">
        <v>8000</v>
      </c>
      <c r="D342" s="1" t="s">
        <v>268</v>
      </c>
      <c r="E342" s="1" t="s">
        <v>269</v>
      </c>
      <c r="F342" s="1" t="s">
        <v>254</v>
      </c>
      <c r="G342" s="1" t="n">
        <v>6837.94</v>
      </c>
    </row>
    <row r="343" customFormat="false" ht="15" hidden="false" customHeight="true" outlineLevel="0" collapsed="false">
      <c r="A343" s="1" t="s">
        <v>281</v>
      </c>
      <c r="B343" s="1" t="s">
        <v>275</v>
      </c>
      <c r="C343" s="1" t="n">
        <v>4000</v>
      </c>
      <c r="D343" s="1" t="s">
        <v>253</v>
      </c>
      <c r="E343" s="1" t="s">
        <v>52</v>
      </c>
      <c r="F343" s="1" t="s">
        <v>254</v>
      </c>
      <c r="G343" s="1" t="n">
        <v>455241.88</v>
      </c>
    </row>
    <row r="344" customFormat="false" ht="15" hidden="false" customHeight="true" outlineLevel="0" collapsed="false">
      <c r="A344" s="1" t="s">
        <v>281</v>
      </c>
      <c r="B344" s="1" t="s">
        <v>275</v>
      </c>
      <c r="C344" s="1" t="n">
        <v>4010</v>
      </c>
      <c r="D344" s="1" t="s">
        <v>255</v>
      </c>
      <c r="E344" s="1" t="s">
        <v>52</v>
      </c>
      <c r="F344" s="1" t="s">
        <v>254</v>
      </c>
      <c r="G344" s="1" t="n">
        <v>195103.66</v>
      </c>
    </row>
    <row r="345" customFormat="false" ht="15" hidden="false" customHeight="true" outlineLevel="0" collapsed="false">
      <c r="A345" s="1" t="s">
        <v>281</v>
      </c>
      <c r="B345" s="1" t="s">
        <v>275</v>
      </c>
      <c r="C345" s="1" t="n">
        <v>5000</v>
      </c>
      <c r="D345" s="1" t="s">
        <v>256</v>
      </c>
      <c r="E345" s="1" t="s">
        <v>140</v>
      </c>
      <c r="F345" s="1" t="s">
        <v>257</v>
      </c>
      <c r="G345" s="1" t="n">
        <v>208110.57</v>
      </c>
    </row>
    <row r="346" customFormat="false" ht="15" hidden="false" customHeight="true" outlineLevel="0" collapsed="false">
      <c r="A346" s="1" t="s">
        <v>281</v>
      </c>
      <c r="B346" s="1" t="s">
        <v>275</v>
      </c>
      <c r="C346" s="1" t="n">
        <v>5010</v>
      </c>
      <c r="D346" s="1" t="s">
        <v>258</v>
      </c>
      <c r="E346" s="1" t="s">
        <v>140</v>
      </c>
      <c r="F346" s="1" t="s">
        <v>257</v>
      </c>
      <c r="G346" s="1" t="n">
        <v>39020.73</v>
      </c>
    </row>
    <row r="347" customFormat="false" ht="15" hidden="false" customHeight="true" outlineLevel="0" collapsed="false">
      <c r="A347" s="1" t="s">
        <v>281</v>
      </c>
      <c r="B347" s="1" t="s">
        <v>275</v>
      </c>
      <c r="C347" s="1" t="n">
        <v>6000</v>
      </c>
      <c r="D347" s="1" t="s">
        <v>259</v>
      </c>
      <c r="E347" s="1" t="s">
        <v>143</v>
      </c>
      <c r="F347" s="1" t="s">
        <v>260</v>
      </c>
      <c r="G347" s="1" t="n">
        <v>101530.05</v>
      </c>
    </row>
    <row r="348" customFormat="false" ht="15" hidden="false" customHeight="true" outlineLevel="0" collapsed="false">
      <c r="A348" s="1" t="s">
        <v>281</v>
      </c>
      <c r="B348" s="1" t="s">
        <v>275</v>
      </c>
      <c r="C348" s="1" t="n">
        <v>6010</v>
      </c>
      <c r="D348" s="1" t="s">
        <v>261</v>
      </c>
      <c r="E348" s="1" t="s">
        <v>143</v>
      </c>
      <c r="F348" s="1" t="s">
        <v>262</v>
      </c>
      <c r="G348" s="1" t="n">
        <v>32650.39</v>
      </c>
    </row>
    <row r="349" customFormat="false" ht="15" hidden="false" customHeight="true" outlineLevel="0" collapsed="false">
      <c r="A349" s="1" t="s">
        <v>281</v>
      </c>
      <c r="B349" s="1" t="s">
        <v>275</v>
      </c>
      <c r="C349" s="1" t="n">
        <v>6020</v>
      </c>
      <c r="D349" s="1" t="s">
        <v>263</v>
      </c>
      <c r="E349" s="1" t="s">
        <v>143</v>
      </c>
      <c r="F349" s="1" t="s">
        <v>264</v>
      </c>
      <c r="G349" s="1" t="n">
        <v>18140.3</v>
      </c>
    </row>
    <row r="350" customFormat="false" ht="15" hidden="false" customHeight="true" outlineLevel="0" collapsed="false">
      <c r="A350" s="1" t="s">
        <v>281</v>
      </c>
      <c r="B350" s="1" t="s">
        <v>275</v>
      </c>
      <c r="C350" s="1" t="n">
        <v>6030</v>
      </c>
      <c r="D350" s="1" t="s">
        <v>265</v>
      </c>
      <c r="E350" s="1" t="s">
        <v>143</v>
      </c>
      <c r="F350" s="1" t="s">
        <v>260</v>
      </c>
      <c r="G350" s="1" t="n">
        <v>11792.54</v>
      </c>
    </row>
    <row r="351" customFormat="false" ht="15" hidden="false" customHeight="true" outlineLevel="0" collapsed="false">
      <c r="A351" s="1" t="s">
        <v>281</v>
      </c>
      <c r="B351" s="1" t="s">
        <v>275</v>
      </c>
      <c r="C351" s="1" t="n">
        <v>6040</v>
      </c>
      <c r="D351" s="1" t="s">
        <v>266</v>
      </c>
      <c r="E351" s="1" t="s">
        <v>143</v>
      </c>
      <c r="F351" s="1" t="s">
        <v>260</v>
      </c>
      <c r="G351" s="1" t="n">
        <v>10089.91</v>
      </c>
    </row>
    <row r="352" customFormat="false" ht="15" hidden="false" customHeight="true" outlineLevel="0" collapsed="false">
      <c r="A352" s="1" t="s">
        <v>281</v>
      </c>
      <c r="B352" s="1" t="s">
        <v>275</v>
      </c>
      <c r="C352" s="1" t="n">
        <v>7000</v>
      </c>
      <c r="D352" s="1" t="s">
        <v>267</v>
      </c>
      <c r="E352" s="1" t="s">
        <v>143</v>
      </c>
      <c r="F352" s="1" t="s">
        <v>257</v>
      </c>
      <c r="G352" s="1" t="n">
        <v>11958.09</v>
      </c>
    </row>
    <row r="353" customFormat="false" ht="15" hidden="false" customHeight="true" outlineLevel="0" collapsed="false">
      <c r="A353" s="1" t="s">
        <v>281</v>
      </c>
      <c r="B353" s="1" t="s">
        <v>275</v>
      </c>
      <c r="C353" s="1" t="n">
        <v>8000</v>
      </c>
      <c r="D353" s="1" t="s">
        <v>268</v>
      </c>
      <c r="E353" s="1" t="s">
        <v>269</v>
      </c>
      <c r="F353" s="1" t="s">
        <v>254</v>
      </c>
      <c r="G353" s="1" t="n">
        <v>6503.46</v>
      </c>
    </row>
    <row r="354" customFormat="false" ht="15" hidden="false" customHeight="true" outlineLevel="0" collapsed="false">
      <c r="A354" s="1" t="s">
        <v>281</v>
      </c>
      <c r="B354" s="1" t="s">
        <v>276</v>
      </c>
      <c r="C354" s="1" t="n">
        <v>4000</v>
      </c>
      <c r="D354" s="1" t="s">
        <v>253</v>
      </c>
      <c r="E354" s="1" t="s">
        <v>52</v>
      </c>
      <c r="F354" s="1" t="s">
        <v>254</v>
      </c>
      <c r="G354" s="1" t="n">
        <v>442514.44</v>
      </c>
    </row>
    <row r="355" customFormat="false" ht="15" hidden="false" customHeight="true" outlineLevel="0" collapsed="false">
      <c r="A355" s="1" t="s">
        <v>281</v>
      </c>
      <c r="B355" s="1" t="s">
        <v>276</v>
      </c>
      <c r="C355" s="1" t="n">
        <v>4010</v>
      </c>
      <c r="D355" s="1" t="s">
        <v>255</v>
      </c>
      <c r="E355" s="1" t="s">
        <v>52</v>
      </c>
      <c r="F355" s="1" t="s">
        <v>254</v>
      </c>
      <c r="G355" s="1" t="n">
        <v>189649.05</v>
      </c>
    </row>
    <row r="356" customFormat="false" ht="15" hidden="false" customHeight="true" outlineLevel="0" collapsed="false">
      <c r="A356" s="1" t="s">
        <v>281</v>
      </c>
      <c r="B356" s="1" t="s">
        <v>276</v>
      </c>
      <c r="C356" s="1" t="n">
        <v>5000</v>
      </c>
      <c r="D356" s="1" t="s">
        <v>256</v>
      </c>
      <c r="E356" s="1" t="s">
        <v>140</v>
      </c>
      <c r="F356" s="1" t="s">
        <v>257</v>
      </c>
      <c r="G356" s="1" t="n">
        <v>202292.32</v>
      </c>
    </row>
    <row r="357" customFormat="false" ht="15" hidden="false" customHeight="true" outlineLevel="0" collapsed="false">
      <c r="A357" s="1" t="s">
        <v>281</v>
      </c>
      <c r="B357" s="1" t="s">
        <v>276</v>
      </c>
      <c r="C357" s="1" t="n">
        <v>5010</v>
      </c>
      <c r="D357" s="1" t="s">
        <v>258</v>
      </c>
      <c r="E357" s="1" t="s">
        <v>140</v>
      </c>
      <c r="F357" s="1" t="s">
        <v>257</v>
      </c>
      <c r="G357" s="1" t="n">
        <v>37929.81</v>
      </c>
    </row>
    <row r="358" customFormat="false" ht="15" hidden="false" customHeight="true" outlineLevel="0" collapsed="false">
      <c r="A358" s="1" t="s">
        <v>281</v>
      </c>
      <c r="B358" s="1" t="s">
        <v>276</v>
      </c>
      <c r="C358" s="1" t="n">
        <v>6000</v>
      </c>
      <c r="D358" s="1" t="s">
        <v>259</v>
      </c>
      <c r="E358" s="1" t="s">
        <v>143</v>
      </c>
      <c r="F358" s="1" t="s">
        <v>260</v>
      </c>
      <c r="G358" s="1" t="n">
        <v>106653.32</v>
      </c>
    </row>
    <row r="359" customFormat="false" ht="15" hidden="false" customHeight="true" outlineLevel="0" collapsed="false">
      <c r="A359" s="1" t="s">
        <v>281</v>
      </c>
      <c r="B359" s="1" t="s">
        <v>276</v>
      </c>
      <c r="C359" s="1" t="n">
        <v>6010</v>
      </c>
      <c r="D359" s="1" t="s">
        <v>261</v>
      </c>
      <c r="E359" s="1" t="s">
        <v>143</v>
      </c>
      <c r="F359" s="1" t="s">
        <v>262</v>
      </c>
      <c r="G359" s="1" t="n">
        <v>31709.76</v>
      </c>
    </row>
    <row r="360" customFormat="false" ht="15" hidden="false" customHeight="true" outlineLevel="0" collapsed="false">
      <c r="A360" s="1" t="s">
        <v>281</v>
      </c>
      <c r="B360" s="1" t="s">
        <v>276</v>
      </c>
      <c r="C360" s="1" t="n">
        <v>6020</v>
      </c>
      <c r="D360" s="1" t="s">
        <v>263</v>
      </c>
      <c r="E360" s="1" t="s">
        <v>143</v>
      </c>
      <c r="F360" s="1" t="s">
        <v>264</v>
      </c>
      <c r="G360" s="1" t="n">
        <v>14952.45</v>
      </c>
    </row>
    <row r="361" customFormat="false" ht="15" hidden="false" customHeight="true" outlineLevel="0" collapsed="false">
      <c r="A361" s="1" t="s">
        <v>281</v>
      </c>
      <c r="B361" s="1" t="s">
        <v>276</v>
      </c>
      <c r="C361" s="1" t="n">
        <v>6030</v>
      </c>
      <c r="D361" s="1" t="s">
        <v>265</v>
      </c>
      <c r="E361" s="1" t="s">
        <v>143</v>
      </c>
      <c r="F361" s="1" t="s">
        <v>260</v>
      </c>
      <c r="G361" s="1" t="n">
        <v>12191.08</v>
      </c>
    </row>
    <row r="362" customFormat="false" ht="15" hidden="false" customHeight="true" outlineLevel="0" collapsed="false">
      <c r="A362" s="1" t="s">
        <v>281</v>
      </c>
      <c r="B362" s="1" t="s">
        <v>276</v>
      </c>
      <c r="C362" s="1" t="n">
        <v>6040</v>
      </c>
      <c r="D362" s="1" t="s">
        <v>266</v>
      </c>
      <c r="E362" s="1" t="s">
        <v>143</v>
      </c>
      <c r="F362" s="1" t="s">
        <v>260</v>
      </c>
      <c r="G362" s="1" t="n">
        <v>9804.66</v>
      </c>
    </row>
    <row r="363" customFormat="false" ht="15" hidden="false" customHeight="true" outlineLevel="0" collapsed="false">
      <c r="A363" s="1" t="s">
        <v>281</v>
      </c>
      <c r="B363" s="1" t="s">
        <v>276</v>
      </c>
      <c r="C363" s="1" t="n">
        <v>7000</v>
      </c>
      <c r="D363" s="1" t="s">
        <v>267</v>
      </c>
      <c r="E363" s="1" t="s">
        <v>143</v>
      </c>
      <c r="F363" s="1" t="s">
        <v>257</v>
      </c>
      <c r="G363" s="1" t="n">
        <v>12181.56</v>
      </c>
    </row>
    <row r="364" customFormat="false" ht="15" hidden="false" customHeight="true" outlineLevel="0" collapsed="false">
      <c r="A364" s="1" t="s">
        <v>281</v>
      </c>
      <c r="B364" s="1" t="s">
        <v>276</v>
      </c>
      <c r="C364" s="1" t="n">
        <v>8000</v>
      </c>
      <c r="D364" s="1" t="s">
        <v>268</v>
      </c>
      <c r="E364" s="1" t="s">
        <v>269</v>
      </c>
      <c r="F364" s="1" t="s">
        <v>254</v>
      </c>
      <c r="G364" s="1" t="n">
        <v>6321.63</v>
      </c>
    </row>
    <row r="365" customFormat="false" ht="15" hidden="false" customHeight="true" outlineLevel="0" collapsed="false">
      <c r="A365" s="1" t="s">
        <v>281</v>
      </c>
      <c r="B365" s="1" t="s">
        <v>277</v>
      </c>
      <c r="C365" s="1" t="n">
        <v>4000</v>
      </c>
      <c r="D365" s="1" t="s">
        <v>253</v>
      </c>
      <c r="E365" s="1" t="s">
        <v>52</v>
      </c>
      <c r="F365" s="1" t="s">
        <v>254</v>
      </c>
      <c r="G365" s="1" t="n">
        <v>449891.76</v>
      </c>
    </row>
    <row r="366" customFormat="false" ht="15" hidden="false" customHeight="true" outlineLevel="0" collapsed="false">
      <c r="A366" s="1" t="s">
        <v>281</v>
      </c>
      <c r="B366" s="1" t="s">
        <v>277</v>
      </c>
      <c r="C366" s="1" t="n">
        <v>4010</v>
      </c>
      <c r="D366" s="1" t="s">
        <v>255</v>
      </c>
      <c r="E366" s="1" t="s">
        <v>52</v>
      </c>
      <c r="F366" s="1" t="s">
        <v>254</v>
      </c>
      <c r="G366" s="1" t="n">
        <v>192810.75</v>
      </c>
    </row>
    <row r="367" customFormat="false" ht="15" hidden="false" customHeight="true" outlineLevel="0" collapsed="false">
      <c r="A367" s="1" t="s">
        <v>281</v>
      </c>
      <c r="B367" s="1" t="s">
        <v>277</v>
      </c>
      <c r="C367" s="1" t="n">
        <v>5000</v>
      </c>
      <c r="D367" s="1" t="s">
        <v>256</v>
      </c>
      <c r="E367" s="1" t="s">
        <v>140</v>
      </c>
      <c r="F367" s="1" t="s">
        <v>257</v>
      </c>
      <c r="G367" s="1" t="n">
        <v>205664.8</v>
      </c>
    </row>
    <row r="368" customFormat="false" ht="15" hidden="false" customHeight="true" outlineLevel="0" collapsed="false">
      <c r="A368" s="1" t="s">
        <v>281</v>
      </c>
      <c r="B368" s="1" t="s">
        <v>277</v>
      </c>
      <c r="C368" s="1" t="n">
        <v>5010</v>
      </c>
      <c r="D368" s="1" t="s">
        <v>258</v>
      </c>
      <c r="E368" s="1" t="s">
        <v>140</v>
      </c>
      <c r="F368" s="1" t="s">
        <v>257</v>
      </c>
      <c r="G368" s="1" t="n">
        <v>38562.15</v>
      </c>
    </row>
    <row r="369" customFormat="false" ht="15" hidden="false" customHeight="true" outlineLevel="0" collapsed="false">
      <c r="A369" s="1" t="s">
        <v>281</v>
      </c>
      <c r="B369" s="1" t="s">
        <v>277</v>
      </c>
      <c r="C369" s="1" t="n">
        <v>6000</v>
      </c>
      <c r="D369" s="1" t="s">
        <v>259</v>
      </c>
      <c r="E369" s="1" t="s">
        <v>143</v>
      </c>
      <c r="F369" s="1" t="s">
        <v>260</v>
      </c>
      <c r="G369" s="1" t="n">
        <v>103066.72</v>
      </c>
    </row>
    <row r="370" customFormat="false" ht="15" hidden="false" customHeight="true" outlineLevel="0" collapsed="false">
      <c r="A370" s="1" t="s">
        <v>281</v>
      </c>
      <c r="B370" s="1" t="s">
        <v>277</v>
      </c>
      <c r="C370" s="1" t="n">
        <v>6010</v>
      </c>
      <c r="D370" s="1" t="s">
        <v>261</v>
      </c>
      <c r="E370" s="1" t="s">
        <v>143</v>
      </c>
      <c r="F370" s="1" t="s">
        <v>262</v>
      </c>
      <c r="G370" s="1" t="n">
        <v>31088.16</v>
      </c>
    </row>
    <row r="371" customFormat="false" ht="15" hidden="false" customHeight="true" outlineLevel="0" collapsed="false">
      <c r="A371" s="1" t="s">
        <v>281</v>
      </c>
      <c r="B371" s="1" t="s">
        <v>277</v>
      </c>
      <c r="C371" s="1" t="n">
        <v>6020</v>
      </c>
      <c r="D371" s="1" t="s">
        <v>263</v>
      </c>
      <c r="E371" s="1" t="s">
        <v>143</v>
      </c>
      <c r="F371" s="1" t="s">
        <v>264</v>
      </c>
      <c r="G371" s="1" t="n">
        <v>17789.96</v>
      </c>
    </row>
    <row r="372" customFormat="false" ht="15" hidden="false" customHeight="true" outlineLevel="0" collapsed="false">
      <c r="A372" s="1" t="s">
        <v>281</v>
      </c>
      <c r="B372" s="1" t="s">
        <v>277</v>
      </c>
      <c r="C372" s="1" t="n">
        <v>6030</v>
      </c>
      <c r="D372" s="1" t="s">
        <v>265</v>
      </c>
      <c r="E372" s="1" t="s">
        <v>143</v>
      </c>
      <c r="F372" s="1" t="s">
        <v>260</v>
      </c>
      <c r="G372" s="1" t="n">
        <v>13261.47</v>
      </c>
    </row>
    <row r="373" customFormat="false" ht="15" hidden="false" customHeight="true" outlineLevel="0" collapsed="false">
      <c r="A373" s="1" t="s">
        <v>281</v>
      </c>
      <c r="B373" s="1" t="s">
        <v>277</v>
      </c>
      <c r="C373" s="1" t="n">
        <v>6040</v>
      </c>
      <c r="D373" s="1" t="s">
        <v>266</v>
      </c>
      <c r="E373" s="1" t="s">
        <v>143</v>
      </c>
      <c r="F373" s="1" t="s">
        <v>260</v>
      </c>
      <c r="G373" s="1" t="n">
        <v>8664.36</v>
      </c>
    </row>
    <row r="374" customFormat="false" ht="15" hidden="false" customHeight="true" outlineLevel="0" collapsed="false">
      <c r="A374" s="1" t="s">
        <v>281</v>
      </c>
      <c r="B374" s="1" t="s">
        <v>277</v>
      </c>
      <c r="C374" s="1" t="n">
        <v>7000</v>
      </c>
      <c r="D374" s="1" t="s">
        <v>267</v>
      </c>
      <c r="E374" s="1" t="s">
        <v>143</v>
      </c>
      <c r="F374" s="1" t="s">
        <v>257</v>
      </c>
      <c r="G374" s="1" t="n">
        <v>12973.88</v>
      </c>
    </row>
    <row r="375" customFormat="false" ht="15" hidden="false" customHeight="true" outlineLevel="0" collapsed="false">
      <c r="A375" s="1" t="s">
        <v>281</v>
      </c>
      <c r="B375" s="1" t="s">
        <v>277</v>
      </c>
      <c r="C375" s="1" t="n">
        <v>8000</v>
      </c>
      <c r="D375" s="1" t="s">
        <v>268</v>
      </c>
      <c r="E375" s="1" t="s">
        <v>269</v>
      </c>
      <c r="F375" s="1" t="s">
        <v>254</v>
      </c>
      <c r="G375" s="1" t="n">
        <v>6427.03</v>
      </c>
    </row>
    <row r="376" customFormat="false" ht="15" hidden="false" customHeight="true" outlineLevel="0" collapsed="false">
      <c r="A376" s="1" t="s">
        <v>281</v>
      </c>
      <c r="B376" s="1" t="s">
        <v>278</v>
      </c>
      <c r="C376" s="1" t="n">
        <v>4000</v>
      </c>
      <c r="D376" s="1" t="s">
        <v>253</v>
      </c>
      <c r="E376" s="1" t="s">
        <v>52</v>
      </c>
      <c r="F376" s="1" t="s">
        <v>254</v>
      </c>
      <c r="G376" s="1" t="n">
        <v>443630.51</v>
      </c>
    </row>
    <row r="377" customFormat="false" ht="15" hidden="false" customHeight="true" outlineLevel="0" collapsed="false">
      <c r="A377" s="1" t="s">
        <v>281</v>
      </c>
      <c r="B377" s="1" t="s">
        <v>278</v>
      </c>
      <c r="C377" s="1" t="n">
        <v>4010</v>
      </c>
      <c r="D377" s="1" t="s">
        <v>255</v>
      </c>
      <c r="E377" s="1" t="s">
        <v>52</v>
      </c>
      <c r="F377" s="1" t="s">
        <v>254</v>
      </c>
      <c r="G377" s="1" t="n">
        <v>190127.36</v>
      </c>
    </row>
    <row r="378" customFormat="false" ht="15" hidden="false" customHeight="true" outlineLevel="0" collapsed="false">
      <c r="A378" s="1" t="s">
        <v>281</v>
      </c>
      <c r="B378" s="1" t="s">
        <v>278</v>
      </c>
      <c r="C378" s="1" t="n">
        <v>5000</v>
      </c>
      <c r="D378" s="1" t="s">
        <v>256</v>
      </c>
      <c r="E378" s="1" t="s">
        <v>140</v>
      </c>
      <c r="F378" s="1" t="s">
        <v>257</v>
      </c>
      <c r="G378" s="1" t="n">
        <v>202802.52</v>
      </c>
    </row>
    <row r="379" customFormat="false" ht="15" hidden="false" customHeight="true" outlineLevel="0" collapsed="false">
      <c r="A379" s="1" t="s">
        <v>281</v>
      </c>
      <c r="B379" s="1" t="s">
        <v>278</v>
      </c>
      <c r="C379" s="1" t="n">
        <v>5010</v>
      </c>
      <c r="D379" s="1" t="s">
        <v>258</v>
      </c>
      <c r="E379" s="1" t="s">
        <v>140</v>
      </c>
      <c r="F379" s="1" t="s">
        <v>257</v>
      </c>
      <c r="G379" s="1" t="n">
        <v>38025.47</v>
      </c>
    </row>
    <row r="380" customFormat="false" ht="15" hidden="false" customHeight="true" outlineLevel="0" collapsed="false">
      <c r="A380" s="1" t="s">
        <v>281</v>
      </c>
      <c r="B380" s="1" t="s">
        <v>278</v>
      </c>
      <c r="C380" s="1" t="n">
        <v>6000</v>
      </c>
      <c r="D380" s="1" t="s">
        <v>259</v>
      </c>
      <c r="E380" s="1" t="s">
        <v>143</v>
      </c>
      <c r="F380" s="1" t="s">
        <v>260</v>
      </c>
      <c r="G380" s="1" t="n">
        <v>105723.15</v>
      </c>
    </row>
    <row r="381" customFormat="false" ht="15" hidden="false" customHeight="true" outlineLevel="0" collapsed="false">
      <c r="A381" s="1" t="s">
        <v>281</v>
      </c>
      <c r="B381" s="1" t="s">
        <v>278</v>
      </c>
      <c r="C381" s="1" t="n">
        <v>6010</v>
      </c>
      <c r="D381" s="1" t="s">
        <v>261</v>
      </c>
      <c r="E381" s="1" t="s">
        <v>143</v>
      </c>
      <c r="F381" s="1" t="s">
        <v>262</v>
      </c>
      <c r="G381" s="1" t="n">
        <v>30432.23</v>
      </c>
    </row>
    <row r="382" customFormat="false" ht="15" hidden="false" customHeight="true" outlineLevel="0" collapsed="false">
      <c r="A382" s="1" t="s">
        <v>281</v>
      </c>
      <c r="B382" s="1" t="s">
        <v>278</v>
      </c>
      <c r="C382" s="1" t="n">
        <v>6020</v>
      </c>
      <c r="D382" s="1" t="s">
        <v>263</v>
      </c>
      <c r="E382" s="1" t="s">
        <v>143</v>
      </c>
      <c r="F382" s="1" t="s">
        <v>264</v>
      </c>
      <c r="G382" s="1" t="n">
        <v>15753.05</v>
      </c>
    </row>
    <row r="383" customFormat="false" ht="15" hidden="false" customHeight="true" outlineLevel="0" collapsed="false">
      <c r="A383" s="1" t="s">
        <v>281</v>
      </c>
      <c r="B383" s="1" t="s">
        <v>278</v>
      </c>
      <c r="C383" s="1" t="n">
        <v>6030</v>
      </c>
      <c r="D383" s="1" t="s">
        <v>265</v>
      </c>
      <c r="E383" s="1" t="s">
        <v>143</v>
      </c>
      <c r="F383" s="1" t="s">
        <v>260</v>
      </c>
      <c r="G383" s="1" t="n">
        <v>12995.2</v>
      </c>
    </row>
    <row r="384" customFormat="false" ht="15" hidden="false" customHeight="true" outlineLevel="0" collapsed="false">
      <c r="A384" s="1" t="s">
        <v>281</v>
      </c>
      <c r="B384" s="1" t="s">
        <v>278</v>
      </c>
      <c r="C384" s="1" t="n">
        <v>6040</v>
      </c>
      <c r="D384" s="1" t="s">
        <v>266</v>
      </c>
      <c r="E384" s="1" t="s">
        <v>143</v>
      </c>
      <c r="F384" s="1" t="s">
        <v>260</v>
      </c>
      <c r="G384" s="1" t="n">
        <v>9917.88</v>
      </c>
    </row>
    <row r="385" customFormat="false" ht="15" hidden="false" customHeight="true" outlineLevel="0" collapsed="false">
      <c r="A385" s="1" t="s">
        <v>281</v>
      </c>
      <c r="B385" s="1" t="s">
        <v>278</v>
      </c>
      <c r="C385" s="1" t="n">
        <v>7000</v>
      </c>
      <c r="D385" s="1" t="s">
        <v>267</v>
      </c>
      <c r="E385" s="1" t="s">
        <v>143</v>
      </c>
      <c r="F385" s="1" t="s">
        <v>257</v>
      </c>
      <c r="G385" s="1" t="n">
        <v>11914.46</v>
      </c>
    </row>
    <row r="386" customFormat="false" ht="15" hidden="false" customHeight="true" outlineLevel="0" collapsed="false">
      <c r="A386" s="1" t="s">
        <v>281</v>
      </c>
      <c r="B386" s="1" t="s">
        <v>278</v>
      </c>
      <c r="C386" s="1" t="n">
        <v>8000</v>
      </c>
      <c r="D386" s="1" t="s">
        <v>268</v>
      </c>
      <c r="E386" s="1" t="s">
        <v>269</v>
      </c>
      <c r="F386" s="1" t="s">
        <v>254</v>
      </c>
      <c r="G386" s="1" t="n">
        <v>6337.58</v>
      </c>
    </row>
    <row r="387" customFormat="false" ht="15" hidden="false" customHeight="true" outlineLevel="0" collapsed="false">
      <c r="A387" s="1" t="s">
        <v>281</v>
      </c>
      <c r="B387" s="1" t="s">
        <v>279</v>
      </c>
      <c r="C387" s="1" t="n">
        <v>4000</v>
      </c>
      <c r="D387" s="1" t="s">
        <v>253</v>
      </c>
      <c r="E387" s="1" t="s">
        <v>52</v>
      </c>
      <c r="F387" s="1" t="s">
        <v>254</v>
      </c>
      <c r="G387" s="1" t="n">
        <v>464385.06</v>
      </c>
    </row>
    <row r="388" customFormat="false" ht="15" hidden="false" customHeight="true" outlineLevel="0" collapsed="false">
      <c r="A388" s="1" t="s">
        <v>281</v>
      </c>
      <c r="B388" s="1" t="s">
        <v>279</v>
      </c>
      <c r="C388" s="1" t="n">
        <v>4010</v>
      </c>
      <c r="D388" s="1" t="s">
        <v>255</v>
      </c>
      <c r="E388" s="1" t="s">
        <v>52</v>
      </c>
      <c r="F388" s="1" t="s">
        <v>254</v>
      </c>
      <c r="G388" s="1" t="n">
        <v>199022.17</v>
      </c>
    </row>
    <row r="389" customFormat="false" ht="15" hidden="false" customHeight="true" outlineLevel="0" collapsed="false">
      <c r="A389" s="1" t="s">
        <v>281</v>
      </c>
      <c r="B389" s="1" t="s">
        <v>279</v>
      </c>
      <c r="C389" s="1" t="n">
        <v>5000</v>
      </c>
      <c r="D389" s="1" t="s">
        <v>256</v>
      </c>
      <c r="E389" s="1" t="s">
        <v>140</v>
      </c>
      <c r="F389" s="1" t="s">
        <v>257</v>
      </c>
      <c r="G389" s="1" t="n">
        <v>212290.31</v>
      </c>
    </row>
    <row r="390" customFormat="false" ht="15" hidden="false" customHeight="true" outlineLevel="0" collapsed="false">
      <c r="A390" s="1" t="s">
        <v>281</v>
      </c>
      <c r="B390" s="1" t="s">
        <v>279</v>
      </c>
      <c r="C390" s="1" t="n">
        <v>5010</v>
      </c>
      <c r="D390" s="1" t="s">
        <v>258</v>
      </c>
      <c r="E390" s="1" t="s">
        <v>140</v>
      </c>
      <c r="F390" s="1" t="s">
        <v>257</v>
      </c>
      <c r="G390" s="1" t="n">
        <v>39804.43</v>
      </c>
    </row>
    <row r="391" customFormat="false" ht="15" hidden="false" customHeight="true" outlineLevel="0" collapsed="false">
      <c r="A391" s="1" t="s">
        <v>281</v>
      </c>
      <c r="B391" s="1" t="s">
        <v>279</v>
      </c>
      <c r="C391" s="1" t="n">
        <v>6000</v>
      </c>
      <c r="D391" s="1" t="s">
        <v>259</v>
      </c>
      <c r="E391" s="1" t="s">
        <v>143</v>
      </c>
      <c r="F391" s="1" t="s">
        <v>260</v>
      </c>
      <c r="G391" s="1" t="n">
        <v>103624.5</v>
      </c>
    </row>
    <row r="392" customFormat="false" ht="15" hidden="false" customHeight="true" outlineLevel="0" collapsed="false">
      <c r="A392" s="1" t="s">
        <v>281</v>
      </c>
      <c r="B392" s="1" t="s">
        <v>279</v>
      </c>
      <c r="C392" s="1" t="n">
        <v>6010</v>
      </c>
      <c r="D392" s="1" t="s">
        <v>261</v>
      </c>
      <c r="E392" s="1" t="s">
        <v>143</v>
      </c>
      <c r="F392" s="1" t="s">
        <v>262</v>
      </c>
      <c r="G392" s="1" t="n">
        <v>32086.8</v>
      </c>
    </row>
    <row r="393" customFormat="false" ht="15" hidden="false" customHeight="true" outlineLevel="0" collapsed="false">
      <c r="A393" s="1" t="s">
        <v>281</v>
      </c>
      <c r="B393" s="1" t="s">
        <v>279</v>
      </c>
      <c r="C393" s="1" t="n">
        <v>6020</v>
      </c>
      <c r="D393" s="1" t="s">
        <v>263</v>
      </c>
      <c r="E393" s="1" t="s">
        <v>143</v>
      </c>
      <c r="F393" s="1" t="s">
        <v>264</v>
      </c>
      <c r="G393" s="1" t="n">
        <v>18049.2</v>
      </c>
    </row>
    <row r="394" customFormat="false" ht="15" hidden="false" customHeight="true" outlineLevel="0" collapsed="false">
      <c r="A394" s="1" t="s">
        <v>281</v>
      </c>
      <c r="B394" s="1" t="s">
        <v>279</v>
      </c>
      <c r="C394" s="1" t="n">
        <v>6030</v>
      </c>
      <c r="D394" s="1" t="s">
        <v>265</v>
      </c>
      <c r="E394" s="1" t="s">
        <v>143</v>
      </c>
      <c r="F394" s="1" t="s">
        <v>260</v>
      </c>
      <c r="G394" s="1" t="n">
        <v>13536.81</v>
      </c>
    </row>
    <row r="395" customFormat="false" ht="15" hidden="false" customHeight="true" outlineLevel="0" collapsed="false">
      <c r="A395" s="1" t="s">
        <v>281</v>
      </c>
      <c r="B395" s="1" t="s">
        <v>279</v>
      </c>
      <c r="C395" s="1" t="n">
        <v>6040</v>
      </c>
      <c r="D395" s="1" t="s">
        <v>266</v>
      </c>
      <c r="E395" s="1" t="s">
        <v>143</v>
      </c>
      <c r="F395" s="1" t="s">
        <v>260</v>
      </c>
      <c r="G395" s="1" t="n">
        <v>9323.75</v>
      </c>
    </row>
    <row r="396" customFormat="false" ht="15" hidden="false" customHeight="true" outlineLevel="0" collapsed="false">
      <c r="A396" s="1" t="s">
        <v>281</v>
      </c>
      <c r="B396" s="1" t="s">
        <v>279</v>
      </c>
      <c r="C396" s="1" t="n">
        <v>7000</v>
      </c>
      <c r="D396" s="1" t="s">
        <v>267</v>
      </c>
      <c r="E396" s="1" t="s">
        <v>143</v>
      </c>
      <c r="F396" s="1" t="s">
        <v>257</v>
      </c>
      <c r="G396" s="1" t="n">
        <v>13877.06</v>
      </c>
    </row>
    <row r="397" customFormat="false" ht="15" hidden="false" customHeight="true" outlineLevel="0" collapsed="false">
      <c r="A397" s="1" t="s">
        <v>281</v>
      </c>
      <c r="B397" s="1" t="s">
        <v>279</v>
      </c>
      <c r="C397" s="1" t="n">
        <v>8000</v>
      </c>
      <c r="D397" s="1" t="s">
        <v>268</v>
      </c>
      <c r="E397" s="1" t="s">
        <v>269</v>
      </c>
      <c r="F397" s="1" t="s">
        <v>254</v>
      </c>
      <c r="G397" s="1" t="n">
        <v>6634.07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6" min="5" style="1" width="14"/>
  </cols>
  <sheetData>
    <row r="1" customFormat="false" ht="15" hidden="false" customHeight="true" outlineLevel="0" collapsed="false">
      <c r="A1" s="31" t="s">
        <v>246</v>
      </c>
      <c r="B1" s="31" t="s">
        <v>7</v>
      </c>
      <c r="C1" s="31" t="s">
        <v>247</v>
      </c>
      <c r="D1" s="31" t="s">
        <v>248</v>
      </c>
      <c r="E1" s="31" t="s">
        <v>249</v>
      </c>
      <c r="F1" s="31" t="s">
        <v>251</v>
      </c>
    </row>
    <row r="2" customFormat="false" ht="15" hidden="false" customHeight="true" outlineLevel="0" collapsed="false">
      <c r="A2" s="1" t="s">
        <v>65</v>
      </c>
      <c r="B2" s="1" t="s">
        <v>252</v>
      </c>
      <c r="C2" s="1" t="n">
        <v>1000</v>
      </c>
      <c r="D2" s="1" t="s">
        <v>282</v>
      </c>
      <c r="E2" s="1" t="s">
        <v>283</v>
      </c>
      <c r="F2" s="1" t="n">
        <v>431884.01</v>
      </c>
    </row>
    <row r="3" customFormat="false" ht="15" hidden="false" customHeight="true" outlineLevel="0" collapsed="false">
      <c r="A3" s="1" t="s">
        <v>65</v>
      </c>
      <c r="B3" s="1" t="s">
        <v>252</v>
      </c>
      <c r="C3" s="1" t="n">
        <v>1200</v>
      </c>
      <c r="D3" s="1" t="s">
        <v>284</v>
      </c>
      <c r="E3" s="1" t="s">
        <v>283</v>
      </c>
      <c r="F3" s="1" t="n">
        <v>204566.47</v>
      </c>
    </row>
    <row r="4" customFormat="false" ht="15" hidden="false" customHeight="true" outlineLevel="0" collapsed="false">
      <c r="A4" s="1" t="s">
        <v>65</v>
      </c>
      <c r="B4" s="1" t="s">
        <v>252</v>
      </c>
      <c r="C4" s="1" t="n">
        <v>1500</v>
      </c>
      <c r="D4" s="1" t="s">
        <v>285</v>
      </c>
      <c r="E4" s="1" t="s">
        <v>283</v>
      </c>
      <c r="F4" s="1" t="n">
        <v>982145.85</v>
      </c>
    </row>
    <row r="5" customFormat="false" ht="15" hidden="false" customHeight="true" outlineLevel="0" collapsed="false">
      <c r="A5" s="1" t="s">
        <v>65</v>
      </c>
      <c r="B5" s="1" t="s">
        <v>252</v>
      </c>
      <c r="C5" s="1" t="n">
        <v>2000</v>
      </c>
      <c r="D5" s="1" t="s">
        <v>286</v>
      </c>
      <c r="E5" s="1" t="s">
        <v>287</v>
      </c>
      <c r="F5" s="1" t="n">
        <v>156681.16</v>
      </c>
    </row>
    <row r="6" customFormat="false" ht="15" hidden="false" customHeight="true" outlineLevel="0" collapsed="false">
      <c r="A6" s="1" t="s">
        <v>65</v>
      </c>
      <c r="B6" s="1" t="s">
        <v>252</v>
      </c>
      <c r="C6" s="1" t="n">
        <v>2100</v>
      </c>
      <c r="D6" s="1" t="s">
        <v>288</v>
      </c>
      <c r="E6" s="1" t="s">
        <v>287</v>
      </c>
      <c r="F6" s="1" t="n">
        <v>64380.63</v>
      </c>
    </row>
    <row r="7" customFormat="false" ht="15" hidden="false" customHeight="true" outlineLevel="0" collapsed="false">
      <c r="A7" s="1" t="s">
        <v>65</v>
      </c>
      <c r="B7" s="1" t="s">
        <v>252</v>
      </c>
      <c r="C7" s="1" t="n">
        <v>2500</v>
      </c>
      <c r="D7" s="1" t="s">
        <v>289</v>
      </c>
      <c r="E7" s="1" t="s">
        <v>287</v>
      </c>
      <c r="F7" s="1" t="n">
        <v>542820</v>
      </c>
    </row>
    <row r="8" customFormat="false" ht="15" hidden="false" customHeight="true" outlineLevel="0" collapsed="false">
      <c r="A8" s="1" t="s">
        <v>65</v>
      </c>
      <c r="B8" s="1" t="s">
        <v>252</v>
      </c>
      <c r="C8" s="1" t="n">
        <v>3000</v>
      </c>
      <c r="D8" s="1" t="s">
        <v>290</v>
      </c>
      <c r="E8" s="1" t="s">
        <v>104</v>
      </c>
      <c r="F8" s="1" t="n">
        <v>436000</v>
      </c>
    </row>
    <row r="9" customFormat="false" ht="15" hidden="false" customHeight="true" outlineLevel="0" collapsed="false">
      <c r="A9" s="1" t="s">
        <v>65</v>
      </c>
      <c r="B9" s="1" t="s">
        <v>252</v>
      </c>
      <c r="C9" s="1" t="n">
        <v>3900</v>
      </c>
      <c r="D9" s="1" t="s">
        <v>291</v>
      </c>
      <c r="E9" s="1" t="s">
        <v>104</v>
      </c>
      <c r="F9" s="1" t="n">
        <v>418714.53</v>
      </c>
    </row>
    <row r="10" customFormat="false" ht="15" hidden="false" customHeight="true" outlineLevel="0" collapsed="false">
      <c r="A10" s="1" t="s">
        <v>65</v>
      </c>
      <c r="B10" s="1" t="s">
        <v>270</v>
      </c>
      <c r="C10" s="1" t="n">
        <v>1000</v>
      </c>
      <c r="D10" s="1" t="s">
        <v>282</v>
      </c>
      <c r="E10" s="1" t="s">
        <v>283</v>
      </c>
      <c r="F10" s="1" t="n">
        <v>614216.49</v>
      </c>
    </row>
    <row r="11" customFormat="false" ht="15" hidden="false" customHeight="true" outlineLevel="0" collapsed="false">
      <c r="A11" s="1" t="s">
        <v>65</v>
      </c>
      <c r="B11" s="1" t="s">
        <v>270</v>
      </c>
      <c r="C11" s="1" t="n">
        <v>1200</v>
      </c>
      <c r="D11" s="1" t="s">
        <v>284</v>
      </c>
      <c r="E11" s="1" t="s">
        <v>283</v>
      </c>
      <c r="F11" s="1" t="n">
        <v>205113.77</v>
      </c>
    </row>
    <row r="12" customFormat="false" ht="15" hidden="false" customHeight="true" outlineLevel="0" collapsed="false">
      <c r="A12" s="1" t="s">
        <v>65</v>
      </c>
      <c r="B12" s="1" t="s">
        <v>270</v>
      </c>
      <c r="C12" s="1" t="n">
        <v>1500</v>
      </c>
      <c r="D12" s="1" t="s">
        <v>285</v>
      </c>
      <c r="E12" s="1" t="s">
        <v>283</v>
      </c>
      <c r="F12" s="1" t="n">
        <v>983155.94</v>
      </c>
    </row>
    <row r="13" customFormat="false" ht="15" hidden="false" customHeight="true" outlineLevel="0" collapsed="false">
      <c r="A13" s="1" t="s">
        <v>65</v>
      </c>
      <c r="B13" s="1" t="s">
        <v>270</v>
      </c>
      <c r="C13" s="1" t="n">
        <v>2000</v>
      </c>
      <c r="D13" s="1" t="s">
        <v>286</v>
      </c>
      <c r="E13" s="1" t="s">
        <v>287</v>
      </c>
      <c r="F13" s="1" t="n">
        <v>161348.44</v>
      </c>
    </row>
    <row r="14" customFormat="false" ht="15" hidden="false" customHeight="true" outlineLevel="0" collapsed="false">
      <c r="A14" s="1" t="s">
        <v>65</v>
      </c>
      <c r="B14" s="1" t="s">
        <v>270</v>
      </c>
      <c r="C14" s="1" t="n">
        <v>2100</v>
      </c>
      <c r="D14" s="1" t="s">
        <v>288</v>
      </c>
      <c r="E14" s="1" t="s">
        <v>287</v>
      </c>
      <c r="F14" s="1" t="n">
        <v>64172.96</v>
      </c>
    </row>
    <row r="15" customFormat="false" ht="15" hidden="false" customHeight="true" outlineLevel="0" collapsed="false">
      <c r="A15" s="1" t="s">
        <v>65</v>
      </c>
      <c r="B15" s="1" t="s">
        <v>270</v>
      </c>
      <c r="C15" s="1" t="n">
        <v>2500</v>
      </c>
      <c r="D15" s="1" t="s">
        <v>289</v>
      </c>
      <c r="E15" s="1" t="s">
        <v>287</v>
      </c>
      <c r="F15" s="1" t="n">
        <v>540648.72</v>
      </c>
    </row>
    <row r="16" customFormat="false" ht="15" hidden="false" customHeight="true" outlineLevel="0" collapsed="false">
      <c r="A16" s="1" t="s">
        <v>65</v>
      </c>
      <c r="B16" s="1" t="s">
        <v>270</v>
      </c>
      <c r="C16" s="1" t="n">
        <v>3000</v>
      </c>
      <c r="D16" s="1" t="s">
        <v>290</v>
      </c>
      <c r="E16" s="1" t="s">
        <v>104</v>
      </c>
      <c r="F16" s="1" t="n">
        <v>436000</v>
      </c>
    </row>
    <row r="17" customFormat="false" ht="15" hidden="false" customHeight="true" outlineLevel="0" collapsed="false">
      <c r="A17" s="1" t="s">
        <v>65</v>
      </c>
      <c r="B17" s="1" t="s">
        <v>270</v>
      </c>
      <c r="C17" s="1" t="n">
        <v>3900</v>
      </c>
      <c r="D17" s="1" t="s">
        <v>291</v>
      </c>
      <c r="E17" s="1" t="s">
        <v>104</v>
      </c>
      <c r="F17" s="1" t="n">
        <v>600316.07</v>
      </c>
    </row>
    <row r="18" customFormat="false" ht="15" hidden="false" customHeight="true" outlineLevel="0" collapsed="false">
      <c r="A18" s="1" t="s">
        <v>65</v>
      </c>
      <c r="B18" s="1" t="s">
        <v>271</v>
      </c>
      <c r="C18" s="1" t="n">
        <v>1000</v>
      </c>
      <c r="D18" s="1" t="s">
        <v>282</v>
      </c>
      <c r="E18" s="1" t="s">
        <v>283</v>
      </c>
      <c r="F18" s="1" t="n">
        <v>789596.21</v>
      </c>
    </row>
    <row r="19" customFormat="false" ht="15" hidden="false" customHeight="true" outlineLevel="0" collapsed="false">
      <c r="A19" s="1" t="s">
        <v>65</v>
      </c>
      <c r="B19" s="1" t="s">
        <v>271</v>
      </c>
      <c r="C19" s="1" t="n">
        <v>1200</v>
      </c>
      <c r="D19" s="1" t="s">
        <v>284</v>
      </c>
      <c r="E19" s="1" t="s">
        <v>283</v>
      </c>
      <c r="F19" s="1" t="n">
        <v>208445.22</v>
      </c>
    </row>
    <row r="20" customFormat="false" ht="15" hidden="false" customHeight="true" outlineLevel="0" collapsed="false">
      <c r="A20" s="1" t="s">
        <v>65</v>
      </c>
      <c r="B20" s="1" t="s">
        <v>271</v>
      </c>
      <c r="C20" s="1" t="n">
        <v>1500</v>
      </c>
      <c r="D20" s="1" t="s">
        <v>285</v>
      </c>
      <c r="E20" s="1" t="s">
        <v>283</v>
      </c>
      <c r="F20" s="1" t="n">
        <v>984330.73</v>
      </c>
    </row>
    <row r="21" customFormat="false" ht="15" hidden="false" customHeight="true" outlineLevel="0" collapsed="false">
      <c r="A21" s="1" t="s">
        <v>65</v>
      </c>
      <c r="B21" s="1" t="s">
        <v>271</v>
      </c>
      <c r="C21" s="1" t="n">
        <v>2000</v>
      </c>
      <c r="D21" s="1" t="s">
        <v>286</v>
      </c>
      <c r="E21" s="1" t="s">
        <v>287</v>
      </c>
      <c r="F21" s="1" t="n">
        <v>164785.03</v>
      </c>
    </row>
    <row r="22" customFormat="false" ht="15" hidden="false" customHeight="true" outlineLevel="0" collapsed="false">
      <c r="A22" s="1" t="s">
        <v>65</v>
      </c>
      <c r="B22" s="1" t="s">
        <v>271</v>
      </c>
      <c r="C22" s="1" t="n">
        <v>2100</v>
      </c>
      <c r="D22" s="1" t="s">
        <v>288</v>
      </c>
      <c r="E22" s="1" t="s">
        <v>287</v>
      </c>
      <c r="F22" s="1" t="n">
        <v>63746.03</v>
      </c>
    </row>
    <row r="23" customFormat="false" ht="15" hidden="false" customHeight="true" outlineLevel="0" collapsed="false">
      <c r="A23" s="1" t="s">
        <v>65</v>
      </c>
      <c r="B23" s="1" t="s">
        <v>271</v>
      </c>
      <c r="C23" s="1" t="n">
        <v>2500</v>
      </c>
      <c r="D23" s="1" t="s">
        <v>289</v>
      </c>
      <c r="E23" s="1" t="s">
        <v>287</v>
      </c>
      <c r="F23" s="1" t="n">
        <v>538486.13</v>
      </c>
    </row>
    <row r="24" customFormat="false" ht="15" hidden="false" customHeight="true" outlineLevel="0" collapsed="false">
      <c r="A24" s="1" t="s">
        <v>65</v>
      </c>
      <c r="B24" s="1" t="s">
        <v>271</v>
      </c>
      <c r="C24" s="1" t="n">
        <v>3000</v>
      </c>
      <c r="D24" s="1" t="s">
        <v>290</v>
      </c>
      <c r="E24" s="1" t="s">
        <v>104</v>
      </c>
      <c r="F24" s="1" t="n">
        <v>436000</v>
      </c>
    </row>
    <row r="25" customFormat="false" ht="15" hidden="false" customHeight="true" outlineLevel="0" collapsed="false">
      <c r="A25" s="1" t="s">
        <v>65</v>
      </c>
      <c r="B25" s="1" t="s">
        <v>271</v>
      </c>
      <c r="C25" s="1" t="n">
        <v>3900</v>
      </c>
      <c r="D25" s="1" t="s">
        <v>291</v>
      </c>
      <c r="E25" s="1" t="s">
        <v>104</v>
      </c>
      <c r="F25" s="1" t="n">
        <v>779354.98</v>
      </c>
    </row>
    <row r="26" customFormat="false" ht="15" hidden="false" customHeight="true" outlineLevel="0" collapsed="false">
      <c r="A26" s="1" t="s">
        <v>65</v>
      </c>
      <c r="B26" s="1" t="s">
        <v>272</v>
      </c>
      <c r="C26" s="1" t="n">
        <v>1000</v>
      </c>
      <c r="D26" s="1" t="s">
        <v>282</v>
      </c>
      <c r="E26" s="1" t="s">
        <v>283</v>
      </c>
      <c r="F26" s="1" t="n">
        <v>963958.75</v>
      </c>
    </row>
    <row r="27" customFormat="false" ht="15" hidden="false" customHeight="true" outlineLevel="0" collapsed="false">
      <c r="A27" s="1" t="s">
        <v>65</v>
      </c>
      <c r="B27" s="1" t="s">
        <v>272</v>
      </c>
      <c r="C27" s="1" t="n">
        <v>1200</v>
      </c>
      <c r="D27" s="1" t="s">
        <v>284</v>
      </c>
      <c r="E27" s="1" t="s">
        <v>283</v>
      </c>
      <c r="F27" s="1" t="n">
        <v>210266.65</v>
      </c>
    </row>
    <row r="28" customFormat="false" ht="15" hidden="false" customHeight="true" outlineLevel="0" collapsed="false">
      <c r="A28" s="1" t="s">
        <v>65</v>
      </c>
      <c r="B28" s="1" t="s">
        <v>272</v>
      </c>
      <c r="C28" s="1" t="n">
        <v>1500</v>
      </c>
      <c r="D28" s="1" t="s">
        <v>285</v>
      </c>
      <c r="E28" s="1" t="s">
        <v>283</v>
      </c>
      <c r="F28" s="1" t="n">
        <v>985504.18</v>
      </c>
    </row>
    <row r="29" customFormat="false" ht="15" hidden="false" customHeight="true" outlineLevel="0" collapsed="false">
      <c r="A29" s="1" t="s">
        <v>65</v>
      </c>
      <c r="B29" s="1" t="s">
        <v>272</v>
      </c>
      <c r="C29" s="1" t="n">
        <v>2000</v>
      </c>
      <c r="D29" s="1" t="s">
        <v>286</v>
      </c>
      <c r="E29" s="1" t="s">
        <v>287</v>
      </c>
      <c r="F29" s="1" t="n">
        <v>158181.86</v>
      </c>
    </row>
    <row r="30" customFormat="false" ht="15" hidden="false" customHeight="true" outlineLevel="0" collapsed="false">
      <c r="A30" s="1" t="s">
        <v>65</v>
      </c>
      <c r="B30" s="1" t="s">
        <v>272</v>
      </c>
      <c r="C30" s="1" t="n">
        <v>2100</v>
      </c>
      <c r="D30" s="1" t="s">
        <v>288</v>
      </c>
      <c r="E30" s="1" t="s">
        <v>287</v>
      </c>
      <c r="F30" s="1" t="n">
        <v>63221.64</v>
      </c>
    </row>
    <row r="31" customFormat="false" ht="15" hidden="false" customHeight="true" outlineLevel="0" collapsed="false">
      <c r="A31" s="1" t="s">
        <v>65</v>
      </c>
      <c r="B31" s="1" t="s">
        <v>272</v>
      </c>
      <c r="C31" s="1" t="n">
        <v>2500</v>
      </c>
      <c r="D31" s="1" t="s">
        <v>289</v>
      </c>
      <c r="E31" s="1" t="s">
        <v>287</v>
      </c>
      <c r="F31" s="1" t="n">
        <v>536332.18</v>
      </c>
    </row>
    <row r="32" customFormat="false" ht="15" hidden="false" customHeight="true" outlineLevel="0" collapsed="false">
      <c r="A32" s="1" t="s">
        <v>65</v>
      </c>
      <c r="B32" s="1" t="s">
        <v>272</v>
      </c>
      <c r="C32" s="1" t="n">
        <v>3000</v>
      </c>
      <c r="D32" s="1" t="s">
        <v>290</v>
      </c>
      <c r="E32" s="1" t="s">
        <v>104</v>
      </c>
      <c r="F32" s="1" t="n">
        <v>436000</v>
      </c>
    </row>
    <row r="33" customFormat="false" ht="15" hidden="false" customHeight="true" outlineLevel="0" collapsed="false">
      <c r="A33" s="1" t="s">
        <v>65</v>
      </c>
      <c r="B33" s="1" t="s">
        <v>272</v>
      </c>
      <c r="C33" s="1" t="n">
        <v>3900</v>
      </c>
      <c r="D33" s="1" t="s">
        <v>291</v>
      </c>
      <c r="E33" s="1" t="s">
        <v>104</v>
      </c>
      <c r="F33" s="1" t="n">
        <v>965993.89</v>
      </c>
    </row>
    <row r="34" customFormat="false" ht="15" hidden="false" customHeight="true" outlineLevel="0" collapsed="false">
      <c r="A34" s="1" t="s">
        <v>65</v>
      </c>
      <c r="B34" s="1" t="s">
        <v>273</v>
      </c>
      <c r="C34" s="1" t="n">
        <v>1000</v>
      </c>
      <c r="D34" s="1" t="s">
        <v>282</v>
      </c>
      <c r="E34" s="1" t="s">
        <v>283</v>
      </c>
      <c r="F34" s="1" t="n">
        <v>1146214.63</v>
      </c>
    </row>
    <row r="35" customFormat="false" ht="15" hidden="false" customHeight="true" outlineLevel="0" collapsed="false">
      <c r="A35" s="1" t="s">
        <v>65</v>
      </c>
      <c r="B35" s="1" t="s">
        <v>273</v>
      </c>
      <c r="C35" s="1" t="n">
        <v>1200</v>
      </c>
      <c r="D35" s="1" t="s">
        <v>284</v>
      </c>
      <c r="E35" s="1" t="s">
        <v>283</v>
      </c>
      <c r="F35" s="1" t="n">
        <v>211508.94</v>
      </c>
    </row>
    <row r="36" customFormat="false" ht="15" hidden="false" customHeight="true" outlineLevel="0" collapsed="false">
      <c r="A36" s="1" t="s">
        <v>65</v>
      </c>
      <c r="B36" s="1" t="s">
        <v>273</v>
      </c>
      <c r="C36" s="1" t="n">
        <v>1500</v>
      </c>
      <c r="D36" s="1" t="s">
        <v>285</v>
      </c>
      <c r="E36" s="1" t="s">
        <v>283</v>
      </c>
      <c r="F36" s="1" t="n">
        <v>986711</v>
      </c>
    </row>
    <row r="37" customFormat="false" ht="15" hidden="false" customHeight="true" outlineLevel="0" collapsed="false">
      <c r="A37" s="1" t="s">
        <v>65</v>
      </c>
      <c r="B37" s="1" t="s">
        <v>273</v>
      </c>
      <c r="C37" s="1" t="n">
        <v>2000</v>
      </c>
      <c r="D37" s="1" t="s">
        <v>286</v>
      </c>
      <c r="E37" s="1" t="s">
        <v>287</v>
      </c>
      <c r="F37" s="1" t="n">
        <v>156562.4</v>
      </c>
    </row>
    <row r="38" customFormat="false" ht="15" hidden="false" customHeight="true" outlineLevel="0" collapsed="false">
      <c r="A38" s="1" t="s">
        <v>65</v>
      </c>
      <c r="B38" s="1" t="s">
        <v>273</v>
      </c>
      <c r="C38" s="1" t="n">
        <v>2100</v>
      </c>
      <c r="D38" s="1" t="s">
        <v>288</v>
      </c>
      <c r="E38" s="1" t="s">
        <v>287</v>
      </c>
      <c r="F38" s="1" t="n">
        <v>65354.05</v>
      </c>
    </row>
    <row r="39" customFormat="false" ht="15" hidden="false" customHeight="true" outlineLevel="0" collapsed="false">
      <c r="A39" s="1" t="s">
        <v>65</v>
      </c>
      <c r="B39" s="1" t="s">
        <v>273</v>
      </c>
      <c r="C39" s="1" t="n">
        <v>2500</v>
      </c>
      <c r="D39" s="1" t="s">
        <v>289</v>
      </c>
      <c r="E39" s="1" t="s">
        <v>287</v>
      </c>
      <c r="F39" s="1" t="n">
        <v>534186.85</v>
      </c>
    </row>
    <row r="40" customFormat="false" ht="15" hidden="false" customHeight="true" outlineLevel="0" collapsed="false">
      <c r="A40" s="1" t="s">
        <v>65</v>
      </c>
      <c r="B40" s="1" t="s">
        <v>273</v>
      </c>
      <c r="C40" s="1" t="n">
        <v>3000</v>
      </c>
      <c r="D40" s="1" t="s">
        <v>290</v>
      </c>
      <c r="E40" s="1" t="s">
        <v>104</v>
      </c>
      <c r="F40" s="1" t="n">
        <v>436000</v>
      </c>
    </row>
    <row r="41" customFormat="false" ht="15" hidden="false" customHeight="true" outlineLevel="0" collapsed="false">
      <c r="A41" s="1" t="s">
        <v>65</v>
      </c>
      <c r="B41" s="1" t="s">
        <v>273</v>
      </c>
      <c r="C41" s="1" t="n">
        <v>3900</v>
      </c>
      <c r="D41" s="1" t="s">
        <v>291</v>
      </c>
      <c r="E41" s="1" t="s">
        <v>104</v>
      </c>
      <c r="F41" s="1" t="n">
        <v>1152331.27</v>
      </c>
    </row>
    <row r="42" customFormat="false" ht="15" hidden="false" customHeight="true" outlineLevel="0" collapsed="false">
      <c r="A42" s="1" t="s">
        <v>65</v>
      </c>
      <c r="B42" s="1" t="s">
        <v>129</v>
      </c>
      <c r="C42" s="1" t="n">
        <v>1000</v>
      </c>
      <c r="D42" s="1" t="s">
        <v>282</v>
      </c>
      <c r="E42" s="1" t="s">
        <v>283</v>
      </c>
      <c r="F42" s="1" t="n">
        <v>1332193.6</v>
      </c>
    </row>
    <row r="43" customFormat="false" ht="15" hidden="false" customHeight="true" outlineLevel="0" collapsed="false">
      <c r="A43" s="1" t="s">
        <v>65</v>
      </c>
      <c r="B43" s="1" t="s">
        <v>129</v>
      </c>
      <c r="C43" s="1" t="n">
        <v>1200</v>
      </c>
      <c r="D43" s="1" t="s">
        <v>284</v>
      </c>
      <c r="E43" s="1" t="s">
        <v>283</v>
      </c>
      <c r="F43" s="1" t="n">
        <v>209218.52</v>
      </c>
    </row>
    <row r="44" customFormat="false" ht="15" hidden="false" customHeight="true" outlineLevel="0" collapsed="false">
      <c r="A44" s="1" t="s">
        <v>65</v>
      </c>
      <c r="B44" s="1" t="s">
        <v>129</v>
      </c>
      <c r="C44" s="1" t="n">
        <v>1500</v>
      </c>
      <c r="D44" s="1" t="s">
        <v>285</v>
      </c>
      <c r="E44" s="1" t="s">
        <v>283</v>
      </c>
      <c r="F44" s="1" t="n">
        <v>987868.81</v>
      </c>
    </row>
    <row r="45" customFormat="false" ht="15" hidden="false" customHeight="true" outlineLevel="0" collapsed="false">
      <c r="A45" s="1" t="s">
        <v>65</v>
      </c>
      <c r="B45" s="1" t="s">
        <v>129</v>
      </c>
      <c r="C45" s="1" t="n">
        <v>2000</v>
      </c>
      <c r="D45" s="1" t="s">
        <v>286</v>
      </c>
      <c r="E45" s="1" t="s">
        <v>287</v>
      </c>
      <c r="F45" s="1" t="n">
        <v>156962.29</v>
      </c>
    </row>
    <row r="46" customFormat="false" ht="15" hidden="false" customHeight="true" outlineLevel="0" collapsed="false">
      <c r="A46" s="1" t="s">
        <v>65</v>
      </c>
      <c r="B46" s="1" t="s">
        <v>129</v>
      </c>
      <c r="C46" s="1" t="n">
        <v>2100</v>
      </c>
      <c r="D46" s="1" t="s">
        <v>288</v>
      </c>
      <c r="E46" s="1" t="s">
        <v>287</v>
      </c>
      <c r="F46" s="1" t="n">
        <v>65984.79</v>
      </c>
    </row>
    <row r="47" customFormat="false" ht="15" hidden="false" customHeight="true" outlineLevel="0" collapsed="false">
      <c r="A47" s="1" t="s">
        <v>65</v>
      </c>
      <c r="B47" s="1" t="s">
        <v>129</v>
      </c>
      <c r="C47" s="1" t="n">
        <v>2500</v>
      </c>
      <c r="D47" s="1" t="s">
        <v>289</v>
      </c>
      <c r="E47" s="1" t="s">
        <v>287</v>
      </c>
      <c r="F47" s="1" t="n">
        <v>532050.1</v>
      </c>
    </row>
    <row r="48" customFormat="false" ht="15" hidden="false" customHeight="true" outlineLevel="0" collapsed="false">
      <c r="A48" s="1" t="s">
        <v>65</v>
      </c>
      <c r="B48" s="1" t="s">
        <v>129</v>
      </c>
      <c r="C48" s="1" t="n">
        <v>3000</v>
      </c>
      <c r="D48" s="1" t="s">
        <v>290</v>
      </c>
      <c r="E48" s="1" t="s">
        <v>104</v>
      </c>
      <c r="F48" s="1" t="n">
        <v>436000</v>
      </c>
    </row>
    <row r="49" customFormat="false" ht="15" hidden="false" customHeight="true" outlineLevel="0" collapsed="false">
      <c r="A49" s="1" t="s">
        <v>65</v>
      </c>
      <c r="B49" s="1" t="s">
        <v>129</v>
      </c>
      <c r="C49" s="1" t="n">
        <v>3900</v>
      </c>
      <c r="D49" s="1" t="s">
        <v>291</v>
      </c>
      <c r="E49" s="1" t="s">
        <v>104</v>
      </c>
      <c r="F49" s="1" t="n">
        <v>1338283.74</v>
      </c>
    </row>
    <row r="50" customFormat="false" ht="15" hidden="false" customHeight="true" outlineLevel="0" collapsed="false">
      <c r="A50" s="1" t="s">
        <v>65</v>
      </c>
      <c r="B50" s="1" t="s">
        <v>274</v>
      </c>
      <c r="C50" s="1" t="n">
        <v>1000</v>
      </c>
      <c r="D50" s="1" t="s">
        <v>282</v>
      </c>
      <c r="E50" s="1" t="s">
        <v>283</v>
      </c>
      <c r="F50" s="1" t="n">
        <v>1509702.76</v>
      </c>
    </row>
    <row r="51" customFormat="false" ht="15" hidden="false" customHeight="true" outlineLevel="0" collapsed="false">
      <c r="A51" s="1" t="s">
        <v>65</v>
      </c>
      <c r="B51" s="1" t="s">
        <v>274</v>
      </c>
      <c r="C51" s="1" t="n">
        <v>1200</v>
      </c>
      <c r="D51" s="1" t="s">
        <v>284</v>
      </c>
      <c r="E51" s="1" t="s">
        <v>283</v>
      </c>
      <c r="F51" s="1" t="n">
        <v>215542.34</v>
      </c>
    </row>
    <row r="52" customFormat="false" ht="15" hidden="false" customHeight="true" outlineLevel="0" collapsed="false">
      <c r="A52" s="1" t="s">
        <v>65</v>
      </c>
      <c r="B52" s="1" t="s">
        <v>274</v>
      </c>
      <c r="C52" s="1" t="n">
        <v>1500</v>
      </c>
      <c r="D52" s="1" t="s">
        <v>285</v>
      </c>
      <c r="E52" s="1" t="s">
        <v>283</v>
      </c>
      <c r="F52" s="1" t="n">
        <v>989038.05</v>
      </c>
    </row>
    <row r="53" customFormat="false" ht="15" hidden="false" customHeight="true" outlineLevel="0" collapsed="false">
      <c r="A53" s="1" t="s">
        <v>65</v>
      </c>
      <c r="B53" s="1" t="s">
        <v>274</v>
      </c>
      <c r="C53" s="1" t="n">
        <v>2000</v>
      </c>
      <c r="D53" s="1" t="s">
        <v>286</v>
      </c>
      <c r="E53" s="1" t="s">
        <v>287</v>
      </c>
      <c r="F53" s="1" t="n">
        <v>154872.63</v>
      </c>
    </row>
    <row r="54" customFormat="false" ht="15" hidden="false" customHeight="true" outlineLevel="0" collapsed="false">
      <c r="A54" s="1" t="s">
        <v>65</v>
      </c>
      <c r="B54" s="1" t="s">
        <v>274</v>
      </c>
      <c r="C54" s="1" t="n">
        <v>2100</v>
      </c>
      <c r="D54" s="1" t="s">
        <v>288</v>
      </c>
      <c r="E54" s="1" t="s">
        <v>287</v>
      </c>
      <c r="F54" s="1" t="n">
        <v>67647.96</v>
      </c>
    </row>
    <row r="55" customFormat="false" ht="15" hidden="false" customHeight="true" outlineLevel="0" collapsed="false">
      <c r="A55" s="1" t="s">
        <v>65</v>
      </c>
      <c r="B55" s="1" t="s">
        <v>274</v>
      </c>
      <c r="C55" s="1" t="n">
        <v>2500</v>
      </c>
      <c r="D55" s="1" t="s">
        <v>289</v>
      </c>
      <c r="E55" s="1" t="s">
        <v>287</v>
      </c>
      <c r="F55" s="1" t="n">
        <v>529921.9</v>
      </c>
    </row>
    <row r="56" customFormat="false" ht="15" hidden="false" customHeight="true" outlineLevel="0" collapsed="false">
      <c r="A56" s="1" t="s">
        <v>65</v>
      </c>
      <c r="B56" s="1" t="s">
        <v>274</v>
      </c>
      <c r="C56" s="1" t="n">
        <v>3000</v>
      </c>
      <c r="D56" s="1" t="s">
        <v>290</v>
      </c>
      <c r="E56" s="1" t="s">
        <v>104</v>
      </c>
      <c r="F56" s="1" t="n">
        <v>436000</v>
      </c>
    </row>
    <row r="57" customFormat="false" ht="15" hidden="false" customHeight="true" outlineLevel="0" collapsed="false">
      <c r="A57" s="1" t="s">
        <v>65</v>
      </c>
      <c r="B57" s="1" t="s">
        <v>274</v>
      </c>
      <c r="C57" s="1" t="n">
        <v>3900</v>
      </c>
      <c r="D57" s="1" t="s">
        <v>291</v>
      </c>
      <c r="E57" s="1" t="s">
        <v>104</v>
      </c>
      <c r="F57" s="1" t="n">
        <v>1525840.66</v>
      </c>
    </row>
    <row r="58" customFormat="false" ht="15" hidden="false" customHeight="true" outlineLevel="0" collapsed="false">
      <c r="A58" s="1" t="s">
        <v>65</v>
      </c>
      <c r="B58" s="1" t="s">
        <v>275</v>
      </c>
      <c r="C58" s="1" t="n">
        <v>1000</v>
      </c>
      <c r="D58" s="1" t="s">
        <v>282</v>
      </c>
      <c r="E58" s="1" t="s">
        <v>283</v>
      </c>
      <c r="F58" s="1" t="n">
        <v>1671293.62</v>
      </c>
    </row>
    <row r="59" customFormat="false" ht="15" hidden="false" customHeight="true" outlineLevel="0" collapsed="false">
      <c r="A59" s="1" t="s">
        <v>65</v>
      </c>
      <c r="B59" s="1" t="s">
        <v>275</v>
      </c>
      <c r="C59" s="1" t="n">
        <v>1200</v>
      </c>
      <c r="D59" s="1" t="s">
        <v>284</v>
      </c>
      <c r="E59" s="1" t="s">
        <v>283</v>
      </c>
      <c r="F59" s="1" t="n">
        <v>217573.04</v>
      </c>
    </row>
    <row r="60" customFormat="false" ht="15" hidden="false" customHeight="true" outlineLevel="0" collapsed="false">
      <c r="A60" s="1" t="s">
        <v>65</v>
      </c>
      <c r="B60" s="1" t="s">
        <v>275</v>
      </c>
      <c r="C60" s="1" t="n">
        <v>1500</v>
      </c>
      <c r="D60" s="1" t="s">
        <v>285</v>
      </c>
      <c r="E60" s="1" t="s">
        <v>283</v>
      </c>
      <c r="F60" s="1" t="n">
        <v>990140</v>
      </c>
    </row>
    <row r="61" customFormat="false" ht="15" hidden="false" customHeight="true" outlineLevel="0" collapsed="false">
      <c r="A61" s="1" t="s">
        <v>65</v>
      </c>
      <c r="B61" s="1" t="s">
        <v>275</v>
      </c>
      <c r="C61" s="1" t="n">
        <v>2000</v>
      </c>
      <c r="D61" s="1" t="s">
        <v>286</v>
      </c>
      <c r="E61" s="1" t="s">
        <v>287</v>
      </c>
      <c r="F61" s="1" t="n">
        <v>153918.86</v>
      </c>
    </row>
    <row r="62" customFormat="false" ht="15" hidden="false" customHeight="true" outlineLevel="0" collapsed="false">
      <c r="A62" s="1" t="s">
        <v>65</v>
      </c>
      <c r="B62" s="1" t="s">
        <v>275</v>
      </c>
      <c r="C62" s="1" t="n">
        <v>2100</v>
      </c>
      <c r="D62" s="1" t="s">
        <v>288</v>
      </c>
      <c r="E62" s="1" t="s">
        <v>287</v>
      </c>
      <c r="F62" s="1" t="n">
        <v>68610.06</v>
      </c>
    </row>
    <row r="63" customFormat="false" ht="15" hidden="false" customHeight="true" outlineLevel="0" collapsed="false">
      <c r="A63" s="1" t="s">
        <v>65</v>
      </c>
      <c r="B63" s="1" t="s">
        <v>275</v>
      </c>
      <c r="C63" s="1" t="n">
        <v>2500</v>
      </c>
      <c r="D63" s="1" t="s">
        <v>289</v>
      </c>
      <c r="E63" s="1" t="s">
        <v>287</v>
      </c>
      <c r="F63" s="1" t="n">
        <v>527802.22</v>
      </c>
    </row>
    <row r="64" customFormat="false" ht="15" hidden="false" customHeight="true" outlineLevel="0" collapsed="false">
      <c r="A64" s="1" t="s">
        <v>65</v>
      </c>
      <c r="B64" s="1" t="s">
        <v>275</v>
      </c>
      <c r="C64" s="1" t="n">
        <v>3000</v>
      </c>
      <c r="D64" s="1" t="s">
        <v>290</v>
      </c>
      <c r="E64" s="1" t="s">
        <v>104</v>
      </c>
      <c r="F64" s="1" t="n">
        <v>436000</v>
      </c>
    </row>
    <row r="65" customFormat="false" ht="15" hidden="false" customHeight="true" outlineLevel="0" collapsed="false">
      <c r="A65" s="1" t="s">
        <v>65</v>
      </c>
      <c r="B65" s="1" t="s">
        <v>275</v>
      </c>
      <c r="C65" s="1" t="n">
        <v>3900</v>
      </c>
      <c r="D65" s="1" t="s">
        <v>291</v>
      </c>
      <c r="E65" s="1" t="s">
        <v>104</v>
      </c>
      <c r="F65" s="1" t="n">
        <v>1692675.52</v>
      </c>
    </row>
    <row r="66" customFormat="false" ht="15" hidden="false" customHeight="true" outlineLevel="0" collapsed="false">
      <c r="A66" s="1" t="s">
        <v>65</v>
      </c>
      <c r="B66" s="1" t="s">
        <v>276</v>
      </c>
      <c r="C66" s="1" t="n">
        <v>1000</v>
      </c>
      <c r="D66" s="1" t="s">
        <v>282</v>
      </c>
      <c r="E66" s="1" t="s">
        <v>283</v>
      </c>
      <c r="F66" s="1" t="n">
        <v>1835587.29</v>
      </c>
    </row>
    <row r="67" customFormat="false" ht="15" hidden="false" customHeight="true" outlineLevel="0" collapsed="false">
      <c r="A67" s="1" t="s">
        <v>65</v>
      </c>
      <c r="B67" s="1" t="s">
        <v>276</v>
      </c>
      <c r="C67" s="1" t="n">
        <v>1200</v>
      </c>
      <c r="D67" s="1" t="s">
        <v>284</v>
      </c>
      <c r="E67" s="1" t="s">
        <v>283</v>
      </c>
      <c r="F67" s="1" t="n">
        <v>220170.22</v>
      </c>
    </row>
    <row r="68" customFormat="false" ht="15" hidden="false" customHeight="true" outlineLevel="0" collapsed="false">
      <c r="A68" s="1" t="s">
        <v>65</v>
      </c>
      <c r="B68" s="1" t="s">
        <v>276</v>
      </c>
      <c r="C68" s="1" t="n">
        <v>1500</v>
      </c>
      <c r="D68" s="1" t="s">
        <v>285</v>
      </c>
      <c r="E68" s="1" t="s">
        <v>283</v>
      </c>
      <c r="F68" s="1" t="n">
        <v>991133.66</v>
      </c>
    </row>
    <row r="69" customFormat="false" ht="15" hidden="false" customHeight="true" outlineLevel="0" collapsed="false">
      <c r="A69" s="1" t="s">
        <v>65</v>
      </c>
      <c r="B69" s="1" t="s">
        <v>276</v>
      </c>
      <c r="C69" s="1" t="n">
        <v>2000</v>
      </c>
      <c r="D69" s="1" t="s">
        <v>286</v>
      </c>
      <c r="E69" s="1" t="s">
        <v>287</v>
      </c>
      <c r="F69" s="1" t="n">
        <v>153918.32</v>
      </c>
    </row>
    <row r="70" customFormat="false" ht="15" hidden="false" customHeight="true" outlineLevel="0" collapsed="false">
      <c r="A70" s="1" t="s">
        <v>65</v>
      </c>
      <c r="B70" s="1" t="s">
        <v>276</v>
      </c>
      <c r="C70" s="1" t="n">
        <v>2100</v>
      </c>
      <c r="D70" s="1" t="s">
        <v>288</v>
      </c>
      <c r="E70" s="1" t="s">
        <v>287</v>
      </c>
      <c r="F70" s="1" t="n">
        <v>69179.86</v>
      </c>
    </row>
    <row r="71" customFormat="false" ht="15" hidden="false" customHeight="true" outlineLevel="0" collapsed="false">
      <c r="A71" s="1" t="s">
        <v>65</v>
      </c>
      <c r="B71" s="1" t="s">
        <v>276</v>
      </c>
      <c r="C71" s="1" t="n">
        <v>2500</v>
      </c>
      <c r="D71" s="1" t="s">
        <v>289</v>
      </c>
      <c r="E71" s="1" t="s">
        <v>287</v>
      </c>
      <c r="F71" s="1" t="n">
        <v>525691.01</v>
      </c>
    </row>
    <row r="72" customFormat="false" ht="15" hidden="false" customHeight="true" outlineLevel="0" collapsed="false">
      <c r="A72" s="1" t="s">
        <v>65</v>
      </c>
      <c r="B72" s="1" t="s">
        <v>276</v>
      </c>
      <c r="C72" s="1" t="n">
        <v>3000</v>
      </c>
      <c r="D72" s="1" t="s">
        <v>290</v>
      </c>
      <c r="E72" s="1" t="s">
        <v>104</v>
      </c>
      <c r="F72" s="1" t="n">
        <v>436000</v>
      </c>
    </row>
    <row r="73" customFormat="false" ht="15" hidden="false" customHeight="true" outlineLevel="0" collapsed="false">
      <c r="A73" s="1" t="s">
        <v>65</v>
      </c>
      <c r="B73" s="1" t="s">
        <v>276</v>
      </c>
      <c r="C73" s="1" t="n">
        <v>3900</v>
      </c>
      <c r="D73" s="1" t="s">
        <v>291</v>
      </c>
      <c r="E73" s="1" t="s">
        <v>104</v>
      </c>
      <c r="F73" s="1" t="n">
        <v>1862101.98</v>
      </c>
    </row>
    <row r="74" customFormat="false" ht="15" hidden="false" customHeight="true" outlineLevel="0" collapsed="false">
      <c r="A74" s="1" t="s">
        <v>65</v>
      </c>
      <c r="B74" s="1" t="s">
        <v>277</v>
      </c>
      <c r="C74" s="1" t="n">
        <v>1000</v>
      </c>
      <c r="D74" s="1" t="s">
        <v>282</v>
      </c>
      <c r="E74" s="1" t="s">
        <v>283</v>
      </c>
      <c r="F74" s="1" t="n">
        <v>1997427.31</v>
      </c>
    </row>
    <row r="75" customFormat="false" ht="15" hidden="false" customHeight="true" outlineLevel="0" collapsed="false">
      <c r="A75" s="1" t="s">
        <v>65</v>
      </c>
      <c r="B75" s="1" t="s">
        <v>277</v>
      </c>
      <c r="C75" s="1" t="n">
        <v>1200</v>
      </c>
      <c r="D75" s="1" t="s">
        <v>284</v>
      </c>
      <c r="E75" s="1" t="s">
        <v>283</v>
      </c>
      <c r="F75" s="1" t="n">
        <v>221014.28</v>
      </c>
    </row>
    <row r="76" customFormat="false" ht="15" hidden="false" customHeight="true" outlineLevel="0" collapsed="false">
      <c r="A76" s="1" t="s">
        <v>65</v>
      </c>
      <c r="B76" s="1" t="s">
        <v>277</v>
      </c>
      <c r="C76" s="1" t="n">
        <v>1500</v>
      </c>
      <c r="D76" s="1" t="s">
        <v>285</v>
      </c>
      <c r="E76" s="1" t="s">
        <v>283</v>
      </c>
      <c r="F76" s="1" t="n">
        <v>992151.89</v>
      </c>
    </row>
    <row r="77" customFormat="false" ht="15" hidden="false" customHeight="true" outlineLevel="0" collapsed="false">
      <c r="A77" s="1" t="s">
        <v>65</v>
      </c>
      <c r="B77" s="1" t="s">
        <v>277</v>
      </c>
      <c r="C77" s="1" t="n">
        <v>2000</v>
      </c>
      <c r="D77" s="1" t="s">
        <v>286</v>
      </c>
      <c r="E77" s="1" t="s">
        <v>287</v>
      </c>
      <c r="F77" s="1" t="n">
        <v>155702.11</v>
      </c>
    </row>
    <row r="78" customFormat="false" ht="15" hidden="false" customHeight="true" outlineLevel="0" collapsed="false">
      <c r="A78" s="1" t="s">
        <v>65</v>
      </c>
      <c r="B78" s="1" t="s">
        <v>277</v>
      </c>
      <c r="C78" s="1" t="n">
        <v>2100</v>
      </c>
      <c r="D78" s="1" t="s">
        <v>288</v>
      </c>
      <c r="E78" s="1" t="s">
        <v>287</v>
      </c>
      <c r="F78" s="1" t="n">
        <v>70341.99</v>
      </c>
    </row>
    <row r="79" customFormat="false" ht="15" hidden="false" customHeight="true" outlineLevel="0" collapsed="false">
      <c r="A79" s="1" t="s">
        <v>65</v>
      </c>
      <c r="B79" s="1" t="s">
        <v>277</v>
      </c>
      <c r="C79" s="1" t="n">
        <v>2500</v>
      </c>
      <c r="D79" s="1" t="s">
        <v>289</v>
      </c>
      <c r="E79" s="1" t="s">
        <v>287</v>
      </c>
      <c r="F79" s="1" t="n">
        <v>523588.24</v>
      </c>
    </row>
    <row r="80" customFormat="false" ht="15" hidden="false" customHeight="true" outlineLevel="0" collapsed="false">
      <c r="A80" s="1" t="s">
        <v>65</v>
      </c>
      <c r="B80" s="1" t="s">
        <v>277</v>
      </c>
      <c r="C80" s="1" t="n">
        <v>3000</v>
      </c>
      <c r="D80" s="1" t="s">
        <v>290</v>
      </c>
      <c r="E80" s="1" t="s">
        <v>104</v>
      </c>
      <c r="F80" s="1" t="n">
        <v>436000</v>
      </c>
    </row>
    <row r="81" customFormat="false" ht="15" hidden="false" customHeight="true" outlineLevel="0" collapsed="false">
      <c r="A81" s="1" t="s">
        <v>65</v>
      </c>
      <c r="B81" s="1" t="s">
        <v>277</v>
      </c>
      <c r="C81" s="1" t="n">
        <v>3900</v>
      </c>
      <c r="D81" s="1" t="s">
        <v>291</v>
      </c>
      <c r="E81" s="1" t="s">
        <v>104</v>
      </c>
      <c r="F81" s="1" t="n">
        <v>2024961.13</v>
      </c>
    </row>
    <row r="82" customFormat="false" ht="15" hidden="false" customHeight="true" outlineLevel="0" collapsed="false">
      <c r="A82" s="1" t="s">
        <v>65</v>
      </c>
      <c r="B82" s="1" t="s">
        <v>278</v>
      </c>
      <c r="C82" s="1" t="n">
        <v>1000</v>
      </c>
      <c r="D82" s="1" t="s">
        <v>282</v>
      </c>
      <c r="E82" s="1" t="s">
        <v>283</v>
      </c>
      <c r="F82" s="1" t="n">
        <v>2163028.17</v>
      </c>
    </row>
    <row r="83" customFormat="false" ht="15" hidden="false" customHeight="true" outlineLevel="0" collapsed="false">
      <c r="A83" s="1" t="s">
        <v>65</v>
      </c>
      <c r="B83" s="1" t="s">
        <v>278</v>
      </c>
      <c r="C83" s="1" t="n">
        <v>1200</v>
      </c>
      <c r="D83" s="1" t="s">
        <v>284</v>
      </c>
      <c r="E83" s="1" t="s">
        <v>283</v>
      </c>
      <c r="F83" s="1" t="n">
        <v>227772.33</v>
      </c>
    </row>
    <row r="84" customFormat="false" ht="15" hidden="false" customHeight="true" outlineLevel="0" collapsed="false">
      <c r="A84" s="1" t="s">
        <v>65</v>
      </c>
      <c r="B84" s="1" t="s">
        <v>278</v>
      </c>
      <c r="C84" s="1" t="n">
        <v>1500</v>
      </c>
      <c r="D84" s="1" t="s">
        <v>285</v>
      </c>
      <c r="E84" s="1" t="s">
        <v>283</v>
      </c>
      <c r="F84" s="1" t="n">
        <v>993291.23</v>
      </c>
    </row>
    <row r="85" customFormat="false" ht="15" hidden="false" customHeight="true" outlineLevel="0" collapsed="false">
      <c r="A85" s="1" t="s">
        <v>65</v>
      </c>
      <c r="B85" s="1" t="s">
        <v>278</v>
      </c>
      <c r="C85" s="1" t="n">
        <v>2000</v>
      </c>
      <c r="D85" s="1" t="s">
        <v>286</v>
      </c>
      <c r="E85" s="1" t="s">
        <v>287</v>
      </c>
      <c r="F85" s="1" t="n">
        <v>154107.57</v>
      </c>
    </row>
    <row r="86" customFormat="false" ht="15" hidden="false" customHeight="true" outlineLevel="0" collapsed="false">
      <c r="A86" s="1" t="s">
        <v>65</v>
      </c>
      <c r="B86" s="1" t="s">
        <v>278</v>
      </c>
      <c r="C86" s="1" t="n">
        <v>2100</v>
      </c>
      <c r="D86" s="1" t="s">
        <v>288</v>
      </c>
      <c r="E86" s="1" t="s">
        <v>287</v>
      </c>
      <c r="F86" s="1" t="n">
        <v>72975.03</v>
      </c>
    </row>
    <row r="87" customFormat="false" ht="15" hidden="false" customHeight="true" outlineLevel="0" collapsed="false">
      <c r="A87" s="1" t="s">
        <v>65</v>
      </c>
      <c r="B87" s="1" t="s">
        <v>278</v>
      </c>
      <c r="C87" s="1" t="n">
        <v>2500</v>
      </c>
      <c r="D87" s="1" t="s">
        <v>289</v>
      </c>
      <c r="E87" s="1" t="s">
        <v>287</v>
      </c>
      <c r="F87" s="1" t="n">
        <v>521493.89</v>
      </c>
    </row>
    <row r="88" customFormat="false" ht="15" hidden="false" customHeight="true" outlineLevel="0" collapsed="false">
      <c r="A88" s="1" t="s">
        <v>65</v>
      </c>
      <c r="B88" s="1" t="s">
        <v>278</v>
      </c>
      <c r="C88" s="1" t="n">
        <v>3000</v>
      </c>
      <c r="D88" s="1" t="s">
        <v>290</v>
      </c>
      <c r="E88" s="1" t="s">
        <v>104</v>
      </c>
      <c r="F88" s="1" t="n">
        <v>436000</v>
      </c>
    </row>
    <row r="89" customFormat="false" ht="15" hidden="false" customHeight="true" outlineLevel="0" collapsed="false">
      <c r="A89" s="1" t="s">
        <v>65</v>
      </c>
      <c r="B89" s="1" t="s">
        <v>278</v>
      </c>
      <c r="C89" s="1" t="n">
        <v>3900</v>
      </c>
      <c r="D89" s="1" t="s">
        <v>291</v>
      </c>
      <c r="E89" s="1" t="s">
        <v>104</v>
      </c>
      <c r="F89" s="1" t="n">
        <v>2199515.24</v>
      </c>
    </row>
    <row r="90" customFormat="false" ht="15" hidden="false" customHeight="true" outlineLevel="0" collapsed="false">
      <c r="A90" s="1" t="s">
        <v>65</v>
      </c>
      <c r="B90" s="1" t="s">
        <v>279</v>
      </c>
      <c r="C90" s="1" t="n">
        <v>1000</v>
      </c>
      <c r="D90" s="1" t="s">
        <v>282</v>
      </c>
      <c r="E90" s="1" t="s">
        <v>283</v>
      </c>
      <c r="F90" s="1" t="n">
        <v>2353578.49</v>
      </c>
    </row>
    <row r="91" customFormat="false" ht="15" hidden="false" customHeight="true" outlineLevel="0" collapsed="false">
      <c r="A91" s="1" t="s">
        <v>65</v>
      </c>
      <c r="B91" s="1" t="s">
        <v>279</v>
      </c>
      <c r="C91" s="1" t="n">
        <v>1200</v>
      </c>
      <c r="D91" s="1" t="s">
        <v>284</v>
      </c>
      <c r="E91" s="1" t="s">
        <v>283</v>
      </c>
      <c r="F91" s="1" t="n">
        <v>223916.06</v>
      </c>
    </row>
    <row r="92" customFormat="false" ht="15" hidden="false" customHeight="true" outlineLevel="0" collapsed="false">
      <c r="A92" s="1" t="s">
        <v>65</v>
      </c>
      <c r="B92" s="1" t="s">
        <v>279</v>
      </c>
      <c r="C92" s="1" t="n">
        <v>1500</v>
      </c>
      <c r="D92" s="1" t="s">
        <v>285</v>
      </c>
      <c r="E92" s="1" t="s">
        <v>283</v>
      </c>
      <c r="F92" s="1" t="n">
        <v>994421.39</v>
      </c>
    </row>
    <row r="93" customFormat="false" ht="15" hidden="false" customHeight="true" outlineLevel="0" collapsed="false">
      <c r="A93" s="1" t="s">
        <v>65</v>
      </c>
      <c r="B93" s="1" t="s">
        <v>279</v>
      </c>
      <c r="C93" s="1" t="n">
        <v>2000</v>
      </c>
      <c r="D93" s="1" t="s">
        <v>286</v>
      </c>
      <c r="E93" s="1" t="s">
        <v>287</v>
      </c>
      <c r="F93" s="1" t="n">
        <v>155228.11</v>
      </c>
    </row>
    <row r="94" customFormat="false" ht="15" hidden="false" customHeight="true" outlineLevel="0" collapsed="false">
      <c r="A94" s="1" t="s">
        <v>65</v>
      </c>
      <c r="B94" s="1" t="s">
        <v>279</v>
      </c>
      <c r="C94" s="1" t="n">
        <v>2100</v>
      </c>
      <c r="D94" s="1" t="s">
        <v>288</v>
      </c>
      <c r="E94" s="1" t="s">
        <v>287</v>
      </c>
      <c r="F94" s="1" t="n">
        <v>74063.34</v>
      </c>
    </row>
    <row r="95" customFormat="false" ht="15" hidden="false" customHeight="true" outlineLevel="0" collapsed="false">
      <c r="A95" s="1" t="s">
        <v>65</v>
      </c>
      <c r="B95" s="1" t="s">
        <v>279</v>
      </c>
      <c r="C95" s="1" t="n">
        <v>2500</v>
      </c>
      <c r="D95" s="1" t="s">
        <v>289</v>
      </c>
      <c r="E95" s="1" t="s">
        <v>287</v>
      </c>
      <c r="F95" s="1" t="n">
        <v>519407.92</v>
      </c>
    </row>
    <row r="96" customFormat="false" ht="15" hidden="false" customHeight="true" outlineLevel="0" collapsed="false">
      <c r="A96" s="1" t="s">
        <v>65</v>
      </c>
      <c r="B96" s="1" t="s">
        <v>279</v>
      </c>
      <c r="C96" s="1" t="n">
        <v>3000</v>
      </c>
      <c r="D96" s="1" t="s">
        <v>290</v>
      </c>
      <c r="E96" s="1" t="s">
        <v>104</v>
      </c>
      <c r="F96" s="1" t="n">
        <v>436000</v>
      </c>
    </row>
    <row r="97" customFormat="false" ht="15" hidden="false" customHeight="true" outlineLevel="0" collapsed="false">
      <c r="A97" s="1" t="s">
        <v>65</v>
      </c>
      <c r="B97" s="1" t="s">
        <v>279</v>
      </c>
      <c r="C97" s="1" t="n">
        <v>3900</v>
      </c>
      <c r="D97" s="1" t="s">
        <v>291</v>
      </c>
      <c r="E97" s="1" t="s">
        <v>104</v>
      </c>
      <c r="F97" s="1" t="n">
        <v>2387216.57</v>
      </c>
    </row>
    <row r="98" customFormat="false" ht="15" hidden="false" customHeight="true" outlineLevel="0" collapsed="false">
      <c r="A98" s="1" t="s">
        <v>280</v>
      </c>
      <c r="B98" s="1" t="s">
        <v>252</v>
      </c>
      <c r="C98" s="1" t="n">
        <v>1000</v>
      </c>
      <c r="D98" s="1" t="s">
        <v>282</v>
      </c>
      <c r="E98" s="1" t="s">
        <v>283</v>
      </c>
      <c r="F98" s="1" t="n">
        <v>356021.51</v>
      </c>
    </row>
    <row r="99" customFormat="false" ht="15" hidden="false" customHeight="true" outlineLevel="0" collapsed="false">
      <c r="A99" s="1" t="s">
        <v>280</v>
      </c>
      <c r="B99" s="1" t="s">
        <v>252</v>
      </c>
      <c r="C99" s="1" t="n">
        <v>1200</v>
      </c>
      <c r="D99" s="1" t="s">
        <v>284</v>
      </c>
      <c r="E99" s="1" t="s">
        <v>283</v>
      </c>
      <c r="F99" s="1" t="n">
        <v>199042.98</v>
      </c>
    </row>
    <row r="100" customFormat="false" ht="15" hidden="false" customHeight="true" outlineLevel="0" collapsed="false">
      <c r="A100" s="1" t="s">
        <v>280</v>
      </c>
      <c r="B100" s="1" t="s">
        <v>252</v>
      </c>
      <c r="C100" s="1" t="n">
        <v>1500</v>
      </c>
      <c r="D100" s="1" t="s">
        <v>285</v>
      </c>
      <c r="E100" s="1" t="s">
        <v>283</v>
      </c>
      <c r="F100" s="1" t="n">
        <v>981555.74</v>
      </c>
    </row>
    <row r="101" customFormat="false" ht="15" hidden="false" customHeight="true" outlineLevel="0" collapsed="false">
      <c r="A101" s="1" t="s">
        <v>280</v>
      </c>
      <c r="B101" s="1" t="s">
        <v>252</v>
      </c>
      <c r="C101" s="1" t="n">
        <v>2000</v>
      </c>
      <c r="D101" s="1" t="s">
        <v>286</v>
      </c>
      <c r="E101" s="1" t="s">
        <v>287</v>
      </c>
      <c r="F101" s="1" t="n">
        <v>152543.25</v>
      </c>
    </row>
    <row r="102" customFormat="false" ht="15" hidden="false" customHeight="true" outlineLevel="0" collapsed="false">
      <c r="A102" s="1" t="s">
        <v>280</v>
      </c>
      <c r="B102" s="1" t="s">
        <v>252</v>
      </c>
      <c r="C102" s="1" t="n">
        <v>2100</v>
      </c>
      <c r="D102" s="1" t="s">
        <v>288</v>
      </c>
      <c r="E102" s="1" t="s">
        <v>287</v>
      </c>
      <c r="F102" s="1" t="n">
        <v>65691.88</v>
      </c>
    </row>
    <row r="103" customFormat="false" ht="15" hidden="false" customHeight="true" outlineLevel="0" collapsed="false">
      <c r="A103" s="1" t="s">
        <v>280</v>
      </c>
      <c r="B103" s="1" t="s">
        <v>252</v>
      </c>
      <c r="C103" s="1" t="n">
        <v>2500</v>
      </c>
      <c r="D103" s="1" t="s">
        <v>289</v>
      </c>
      <c r="E103" s="1" t="s">
        <v>287</v>
      </c>
      <c r="F103" s="1" t="n">
        <v>542820</v>
      </c>
    </row>
    <row r="104" customFormat="false" ht="15" hidden="false" customHeight="true" outlineLevel="0" collapsed="false">
      <c r="A104" s="1" t="s">
        <v>280</v>
      </c>
      <c r="B104" s="1" t="s">
        <v>252</v>
      </c>
      <c r="C104" s="1" t="n">
        <v>3000</v>
      </c>
      <c r="D104" s="1" t="s">
        <v>290</v>
      </c>
      <c r="E104" s="1" t="s">
        <v>104</v>
      </c>
      <c r="F104" s="1" t="n">
        <v>436000</v>
      </c>
    </row>
    <row r="105" customFormat="false" ht="15" hidden="false" customHeight="true" outlineLevel="0" collapsed="false">
      <c r="A105" s="1" t="s">
        <v>280</v>
      </c>
      <c r="B105" s="1" t="s">
        <v>252</v>
      </c>
      <c r="C105" s="1" t="n">
        <v>3900</v>
      </c>
      <c r="D105" s="1" t="s">
        <v>291</v>
      </c>
      <c r="E105" s="1" t="s">
        <v>104</v>
      </c>
      <c r="F105" s="1" t="n">
        <v>339565.09</v>
      </c>
    </row>
    <row r="106" customFormat="false" ht="15" hidden="false" customHeight="true" outlineLevel="0" collapsed="false">
      <c r="A106" s="1" t="s">
        <v>280</v>
      </c>
      <c r="B106" s="1" t="s">
        <v>270</v>
      </c>
      <c r="C106" s="1" t="n">
        <v>1000</v>
      </c>
      <c r="D106" s="1" t="s">
        <v>282</v>
      </c>
      <c r="E106" s="1" t="s">
        <v>283</v>
      </c>
      <c r="F106" s="1" t="n">
        <v>453846.49</v>
      </c>
    </row>
    <row r="107" customFormat="false" ht="15" hidden="false" customHeight="true" outlineLevel="0" collapsed="false">
      <c r="A107" s="1" t="s">
        <v>280</v>
      </c>
      <c r="B107" s="1" t="s">
        <v>270</v>
      </c>
      <c r="C107" s="1" t="n">
        <v>1200</v>
      </c>
      <c r="D107" s="1" t="s">
        <v>284</v>
      </c>
      <c r="E107" s="1" t="s">
        <v>283</v>
      </c>
      <c r="F107" s="1" t="n">
        <v>199563.97</v>
      </c>
    </row>
    <row r="108" customFormat="false" ht="15" hidden="false" customHeight="true" outlineLevel="0" collapsed="false">
      <c r="A108" s="1" t="s">
        <v>280</v>
      </c>
      <c r="B108" s="1" t="s">
        <v>270</v>
      </c>
      <c r="C108" s="1" t="n">
        <v>1500</v>
      </c>
      <c r="D108" s="1" t="s">
        <v>285</v>
      </c>
      <c r="E108" s="1" t="s">
        <v>283</v>
      </c>
      <c r="F108" s="1" t="n">
        <v>982172.13</v>
      </c>
    </row>
    <row r="109" customFormat="false" ht="15" hidden="false" customHeight="true" outlineLevel="0" collapsed="false">
      <c r="A109" s="1" t="s">
        <v>280</v>
      </c>
      <c r="B109" s="1" t="s">
        <v>270</v>
      </c>
      <c r="C109" s="1" t="n">
        <v>2000</v>
      </c>
      <c r="D109" s="1" t="s">
        <v>286</v>
      </c>
      <c r="E109" s="1" t="s">
        <v>287</v>
      </c>
      <c r="F109" s="1" t="n">
        <v>152569.84</v>
      </c>
    </row>
    <row r="110" customFormat="false" ht="15" hidden="false" customHeight="true" outlineLevel="0" collapsed="false">
      <c r="A110" s="1" t="s">
        <v>280</v>
      </c>
      <c r="B110" s="1" t="s">
        <v>270</v>
      </c>
      <c r="C110" s="1" t="n">
        <v>2100</v>
      </c>
      <c r="D110" s="1" t="s">
        <v>288</v>
      </c>
      <c r="E110" s="1" t="s">
        <v>287</v>
      </c>
      <c r="F110" s="1" t="n">
        <v>67041.48</v>
      </c>
    </row>
    <row r="111" customFormat="false" ht="15" hidden="false" customHeight="true" outlineLevel="0" collapsed="false">
      <c r="A111" s="1" t="s">
        <v>280</v>
      </c>
      <c r="B111" s="1" t="s">
        <v>270</v>
      </c>
      <c r="C111" s="1" t="n">
        <v>2500</v>
      </c>
      <c r="D111" s="1" t="s">
        <v>289</v>
      </c>
      <c r="E111" s="1" t="s">
        <v>287</v>
      </c>
      <c r="F111" s="1" t="n">
        <v>540648.72</v>
      </c>
    </row>
    <row r="112" customFormat="false" ht="15" hidden="false" customHeight="true" outlineLevel="0" collapsed="false">
      <c r="A112" s="1" t="s">
        <v>280</v>
      </c>
      <c r="B112" s="1" t="s">
        <v>270</v>
      </c>
      <c r="C112" s="1" t="n">
        <v>3000</v>
      </c>
      <c r="D112" s="1" t="s">
        <v>290</v>
      </c>
      <c r="E112" s="1" t="s">
        <v>104</v>
      </c>
      <c r="F112" s="1" t="n">
        <v>436000</v>
      </c>
    </row>
    <row r="113" customFormat="false" ht="15" hidden="false" customHeight="true" outlineLevel="0" collapsed="false">
      <c r="A113" s="1" t="s">
        <v>280</v>
      </c>
      <c r="B113" s="1" t="s">
        <v>270</v>
      </c>
      <c r="C113" s="1" t="n">
        <v>3900</v>
      </c>
      <c r="D113" s="1" t="s">
        <v>291</v>
      </c>
      <c r="E113" s="1" t="s">
        <v>104</v>
      </c>
      <c r="F113" s="1" t="n">
        <v>439322.55</v>
      </c>
    </row>
    <row r="114" customFormat="false" ht="15" hidden="false" customHeight="true" outlineLevel="0" collapsed="false">
      <c r="A114" s="1" t="s">
        <v>280</v>
      </c>
      <c r="B114" s="1" t="s">
        <v>271</v>
      </c>
      <c r="C114" s="1" t="n">
        <v>1000</v>
      </c>
      <c r="D114" s="1" t="s">
        <v>282</v>
      </c>
      <c r="E114" s="1" t="s">
        <v>283</v>
      </c>
      <c r="F114" s="1" t="n">
        <v>551068.74</v>
      </c>
    </row>
    <row r="115" customFormat="false" ht="15" hidden="false" customHeight="true" outlineLevel="0" collapsed="false">
      <c r="A115" s="1" t="s">
        <v>280</v>
      </c>
      <c r="B115" s="1" t="s">
        <v>271</v>
      </c>
      <c r="C115" s="1" t="n">
        <v>1200</v>
      </c>
      <c r="D115" s="1" t="s">
        <v>284</v>
      </c>
      <c r="E115" s="1" t="s">
        <v>283</v>
      </c>
      <c r="F115" s="1" t="n">
        <v>202635.02</v>
      </c>
    </row>
    <row r="116" customFormat="false" ht="15" hidden="false" customHeight="true" outlineLevel="0" collapsed="false">
      <c r="A116" s="1" t="s">
        <v>280</v>
      </c>
      <c r="B116" s="1" t="s">
        <v>271</v>
      </c>
      <c r="C116" s="1" t="n">
        <v>1500</v>
      </c>
      <c r="D116" s="1" t="s">
        <v>285</v>
      </c>
      <c r="E116" s="1" t="s">
        <v>283</v>
      </c>
      <c r="F116" s="1" t="n">
        <v>982790.3</v>
      </c>
    </row>
    <row r="117" customFormat="false" ht="15" hidden="false" customHeight="true" outlineLevel="0" collapsed="false">
      <c r="A117" s="1" t="s">
        <v>280</v>
      </c>
      <c r="B117" s="1" t="s">
        <v>271</v>
      </c>
      <c r="C117" s="1" t="n">
        <v>2000</v>
      </c>
      <c r="D117" s="1" t="s">
        <v>286</v>
      </c>
      <c r="E117" s="1" t="s">
        <v>287</v>
      </c>
      <c r="F117" s="1" t="n">
        <v>152337.57</v>
      </c>
    </row>
    <row r="118" customFormat="false" ht="15" hidden="false" customHeight="true" outlineLevel="0" collapsed="false">
      <c r="A118" s="1" t="s">
        <v>280</v>
      </c>
      <c r="B118" s="1" t="s">
        <v>271</v>
      </c>
      <c r="C118" s="1" t="n">
        <v>2100</v>
      </c>
      <c r="D118" s="1" t="s">
        <v>288</v>
      </c>
      <c r="E118" s="1" t="s">
        <v>287</v>
      </c>
      <c r="F118" s="1" t="n">
        <v>68441.08</v>
      </c>
    </row>
    <row r="119" customFormat="false" ht="15" hidden="false" customHeight="true" outlineLevel="0" collapsed="false">
      <c r="A119" s="1" t="s">
        <v>280</v>
      </c>
      <c r="B119" s="1" t="s">
        <v>271</v>
      </c>
      <c r="C119" s="1" t="n">
        <v>2500</v>
      </c>
      <c r="D119" s="1" t="s">
        <v>289</v>
      </c>
      <c r="E119" s="1" t="s">
        <v>287</v>
      </c>
      <c r="F119" s="1" t="n">
        <v>538486.13</v>
      </c>
    </row>
    <row r="120" customFormat="false" ht="15" hidden="false" customHeight="true" outlineLevel="0" collapsed="false">
      <c r="A120" s="1" t="s">
        <v>280</v>
      </c>
      <c r="B120" s="1" t="s">
        <v>271</v>
      </c>
      <c r="C120" s="1" t="n">
        <v>3000</v>
      </c>
      <c r="D120" s="1" t="s">
        <v>290</v>
      </c>
      <c r="E120" s="1" t="s">
        <v>104</v>
      </c>
      <c r="F120" s="1" t="n">
        <v>436000</v>
      </c>
    </row>
    <row r="121" customFormat="false" ht="15" hidden="false" customHeight="true" outlineLevel="0" collapsed="false">
      <c r="A121" s="1" t="s">
        <v>280</v>
      </c>
      <c r="B121" s="1" t="s">
        <v>271</v>
      </c>
      <c r="C121" s="1" t="n">
        <v>3900</v>
      </c>
      <c r="D121" s="1" t="s">
        <v>291</v>
      </c>
      <c r="E121" s="1" t="s">
        <v>104</v>
      </c>
      <c r="F121" s="1" t="n">
        <v>541229.29</v>
      </c>
    </row>
    <row r="122" customFormat="false" ht="15" hidden="false" customHeight="true" outlineLevel="0" collapsed="false">
      <c r="A122" s="1" t="s">
        <v>280</v>
      </c>
      <c r="B122" s="1" t="s">
        <v>272</v>
      </c>
      <c r="C122" s="1" t="n">
        <v>1000</v>
      </c>
      <c r="D122" s="1" t="s">
        <v>282</v>
      </c>
      <c r="E122" s="1" t="s">
        <v>283</v>
      </c>
      <c r="F122" s="1" t="n">
        <v>647060.23</v>
      </c>
    </row>
    <row r="123" customFormat="false" ht="15" hidden="false" customHeight="true" outlineLevel="0" collapsed="false">
      <c r="A123" s="1" t="s">
        <v>280</v>
      </c>
      <c r="B123" s="1" t="s">
        <v>272</v>
      </c>
      <c r="C123" s="1" t="n">
        <v>1200</v>
      </c>
      <c r="D123" s="1" t="s">
        <v>284</v>
      </c>
      <c r="E123" s="1" t="s">
        <v>283</v>
      </c>
      <c r="F123" s="1" t="n">
        <v>205556.92</v>
      </c>
    </row>
    <row r="124" customFormat="false" ht="15" hidden="false" customHeight="true" outlineLevel="0" collapsed="false">
      <c r="A124" s="1" t="s">
        <v>280</v>
      </c>
      <c r="B124" s="1" t="s">
        <v>272</v>
      </c>
      <c r="C124" s="1" t="n">
        <v>1500</v>
      </c>
      <c r="D124" s="1" t="s">
        <v>285</v>
      </c>
      <c r="E124" s="1" t="s">
        <v>283</v>
      </c>
      <c r="F124" s="1" t="n">
        <v>983424.34</v>
      </c>
    </row>
    <row r="125" customFormat="false" ht="15" hidden="false" customHeight="true" outlineLevel="0" collapsed="false">
      <c r="A125" s="1" t="s">
        <v>280</v>
      </c>
      <c r="B125" s="1" t="s">
        <v>272</v>
      </c>
      <c r="C125" s="1" t="n">
        <v>2000</v>
      </c>
      <c r="D125" s="1" t="s">
        <v>286</v>
      </c>
      <c r="E125" s="1" t="s">
        <v>287</v>
      </c>
      <c r="F125" s="1" t="n">
        <v>155869.72</v>
      </c>
    </row>
    <row r="126" customFormat="false" ht="15" hidden="false" customHeight="true" outlineLevel="0" collapsed="false">
      <c r="A126" s="1" t="s">
        <v>280</v>
      </c>
      <c r="B126" s="1" t="s">
        <v>272</v>
      </c>
      <c r="C126" s="1" t="n">
        <v>2100</v>
      </c>
      <c r="D126" s="1" t="s">
        <v>288</v>
      </c>
      <c r="E126" s="1" t="s">
        <v>287</v>
      </c>
      <c r="F126" s="1" t="n">
        <v>69570.71</v>
      </c>
    </row>
    <row r="127" customFormat="false" ht="15" hidden="false" customHeight="true" outlineLevel="0" collapsed="false">
      <c r="A127" s="1" t="s">
        <v>280</v>
      </c>
      <c r="B127" s="1" t="s">
        <v>272</v>
      </c>
      <c r="C127" s="1" t="n">
        <v>2500</v>
      </c>
      <c r="D127" s="1" t="s">
        <v>289</v>
      </c>
      <c r="E127" s="1" t="s">
        <v>287</v>
      </c>
      <c r="F127" s="1" t="n">
        <v>536332.18</v>
      </c>
    </row>
    <row r="128" customFormat="false" ht="15" hidden="false" customHeight="true" outlineLevel="0" collapsed="false">
      <c r="A128" s="1" t="s">
        <v>280</v>
      </c>
      <c r="B128" s="1" t="s">
        <v>272</v>
      </c>
      <c r="C128" s="1" t="n">
        <v>3000</v>
      </c>
      <c r="D128" s="1" t="s">
        <v>290</v>
      </c>
      <c r="E128" s="1" t="s">
        <v>104</v>
      </c>
      <c r="F128" s="1" t="n">
        <v>436000</v>
      </c>
    </row>
    <row r="129" customFormat="false" ht="15" hidden="false" customHeight="true" outlineLevel="0" collapsed="false">
      <c r="A129" s="1" t="s">
        <v>280</v>
      </c>
      <c r="B129" s="1" t="s">
        <v>272</v>
      </c>
      <c r="C129" s="1" t="n">
        <v>3900</v>
      </c>
      <c r="D129" s="1" t="s">
        <v>291</v>
      </c>
      <c r="E129" s="1" t="s">
        <v>104</v>
      </c>
      <c r="F129" s="1" t="n">
        <v>638268.88</v>
      </c>
    </row>
    <row r="130" customFormat="false" ht="15" hidden="false" customHeight="true" outlineLevel="0" collapsed="false">
      <c r="A130" s="1" t="s">
        <v>280</v>
      </c>
      <c r="B130" s="1" t="s">
        <v>273</v>
      </c>
      <c r="C130" s="1" t="n">
        <v>1000</v>
      </c>
      <c r="D130" s="1" t="s">
        <v>282</v>
      </c>
      <c r="E130" s="1" t="s">
        <v>283</v>
      </c>
      <c r="F130" s="1" t="n">
        <v>742077.09</v>
      </c>
    </row>
    <row r="131" customFormat="false" ht="15" hidden="false" customHeight="true" outlineLevel="0" collapsed="false">
      <c r="A131" s="1" t="s">
        <v>280</v>
      </c>
      <c r="B131" s="1" t="s">
        <v>273</v>
      </c>
      <c r="C131" s="1" t="n">
        <v>1200</v>
      </c>
      <c r="D131" s="1" t="s">
        <v>284</v>
      </c>
      <c r="E131" s="1" t="s">
        <v>283</v>
      </c>
      <c r="F131" s="1" t="n">
        <v>205069.93</v>
      </c>
    </row>
    <row r="132" customFormat="false" ht="15" hidden="false" customHeight="true" outlineLevel="0" collapsed="false">
      <c r="A132" s="1" t="s">
        <v>280</v>
      </c>
      <c r="B132" s="1" t="s">
        <v>273</v>
      </c>
      <c r="C132" s="1" t="n">
        <v>1500</v>
      </c>
      <c r="D132" s="1" t="s">
        <v>285</v>
      </c>
      <c r="E132" s="1" t="s">
        <v>283</v>
      </c>
      <c r="F132" s="1" t="n">
        <v>984100.57</v>
      </c>
    </row>
    <row r="133" customFormat="false" ht="15" hidden="false" customHeight="true" outlineLevel="0" collapsed="false">
      <c r="A133" s="1" t="s">
        <v>280</v>
      </c>
      <c r="B133" s="1" t="s">
        <v>273</v>
      </c>
      <c r="C133" s="1" t="n">
        <v>2000</v>
      </c>
      <c r="D133" s="1" t="s">
        <v>286</v>
      </c>
      <c r="E133" s="1" t="s">
        <v>287</v>
      </c>
      <c r="F133" s="1" t="n">
        <v>155969.27</v>
      </c>
    </row>
    <row r="134" customFormat="false" ht="15" hidden="false" customHeight="true" outlineLevel="0" collapsed="false">
      <c r="A134" s="1" t="s">
        <v>280</v>
      </c>
      <c r="B134" s="1" t="s">
        <v>273</v>
      </c>
      <c r="C134" s="1" t="n">
        <v>2100</v>
      </c>
      <c r="D134" s="1" t="s">
        <v>288</v>
      </c>
      <c r="E134" s="1" t="s">
        <v>287</v>
      </c>
      <c r="F134" s="1" t="n">
        <v>70818</v>
      </c>
    </row>
    <row r="135" customFormat="false" ht="15" hidden="false" customHeight="true" outlineLevel="0" collapsed="false">
      <c r="A135" s="1" t="s">
        <v>280</v>
      </c>
      <c r="B135" s="1" t="s">
        <v>273</v>
      </c>
      <c r="C135" s="1" t="n">
        <v>2500</v>
      </c>
      <c r="D135" s="1" t="s">
        <v>289</v>
      </c>
      <c r="E135" s="1" t="s">
        <v>287</v>
      </c>
      <c r="F135" s="1" t="n">
        <v>534186.85</v>
      </c>
    </row>
    <row r="136" customFormat="false" ht="15" hidden="false" customHeight="true" outlineLevel="0" collapsed="false">
      <c r="A136" s="1" t="s">
        <v>280</v>
      </c>
      <c r="B136" s="1" t="s">
        <v>273</v>
      </c>
      <c r="C136" s="1" t="n">
        <v>3000</v>
      </c>
      <c r="D136" s="1" t="s">
        <v>290</v>
      </c>
      <c r="E136" s="1" t="s">
        <v>104</v>
      </c>
      <c r="F136" s="1" t="n">
        <v>436000</v>
      </c>
    </row>
    <row r="137" customFormat="false" ht="15" hidden="false" customHeight="true" outlineLevel="0" collapsed="false">
      <c r="A137" s="1" t="s">
        <v>280</v>
      </c>
      <c r="B137" s="1" t="s">
        <v>273</v>
      </c>
      <c r="C137" s="1" t="n">
        <v>3900</v>
      </c>
      <c r="D137" s="1" t="s">
        <v>291</v>
      </c>
      <c r="E137" s="1" t="s">
        <v>104</v>
      </c>
      <c r="F137" s="1" t="n">
        <v>734273.47</v>
      </c>
    </row>
    <row r="138" customFormat="false" ht="15" hidden="false" customHeight="true" outlineLevel="0" collapsed="false">
      <c r="A138" s="1" t="s">
        <v>280</v>
      </c>
      <c r="B138" s="1" t="s">
        <v>129</v>
      </c>
      <c r="C138" s="1" t="n">
        <v>1000</v>
      </c>
      <c r="D138" s="1" t="s">
        <v>282</v>
      </c>
      <c r="E138" s="1" t="s">
        <v>283</v>
      </c>
      <c r="F138" s="1" t="n">
        <v>840441.83</v>
      </c>
    </row>
    <row r="139" customFormat="false" ht="15" hidden="false" customHeight="true" outlineLevel="0" collapsed="false">
      <c r="A139" s="1" t="s">
        <v>280</v>
      </c>
      <c r="B139" s="1" t="s">
        <v>129</v>
      </c>
      <c r="C139" s="1" t="n">
        <v>1200</v>
      </c>
      <c r="D139" s="1" t="s">
        <v>284</v>
      </c>
      <c r="E139" s="1" t="s">
        <v>283</v>
      </c>
      <c r="F139" s="1" t="n">
        <v>208901.04</v>
      </c>
    </row>
    <row r="140" customFormat="false" ht="15" hidden="false" customHeight="true" outlineLevel="0" collapsed="false">
      <c r="A140" s="1" t="s">
        <v>280</v>
      </c>
      <c r="B140" s="1" t="s">
        <v>129</v>
      </c>
      <c r="C140" s="1" t="n">
        <v>1500</v>
      </c>
      <c r="D140" s="1" t="s">
        <v>285</v>
      </c>
      <c r="E140" s="1" t="s">
        <v>283</v>
      </c>
      <c r="F140" s="1" t="n">
        <v>984830.87</v>
      </c>
    </row>
    <row r="141" customFormat="false" ht="15" hidden="false" customHeight="true" outlineLevel="0" collapsed="false">
      <c r="A141" s="1" t="s">
        <v>280</v>
      </c>
      <c r="B141" s="1" t="s">
        <v>129</v>
      </c>
      <c r="C141" s="1" t="n">
        <v>2000</v>
      </c>
      <c r="D141" s="1" t="s">
        <v>286</v>
      </c>
      <c r="E141" s="1" t="s">
        <v>287</v>
      </c>
      <c r="F141" s="1" t="n">
        <v>157417.01</v>
      </c>
    </row>
    <row r="142" customFormat="false" ht="15" hidden="false" customHeight="true" outlineLevel="0" collapsed="false">
      <c r="A142" s="1" t="s">
        <v>280</v>
      </c>
      <c r="B142" s="1" t="s">
        <v>129</v>
      </c>
      <c r="C142" s="1" t="n">
        <v>2100</v>
      </c>
      <c r="D142" s="1" t="s">
        <v>288</v>
      </c>
      <c r="E142" s="1" t="s">
        <v>287</v>
      </c>
      <c r="F142" s="1" t="n">
        <v>71435.33</v>
      </c>
    </row>
    <row r="143" customFormat="false" ht="15" hidden="false" customHeight="true" outlineLevel="0" collapsed="false">
      <c r="A143" s="1" t="s">
        <v>280</v>
      </c>
      <c r="B143" s="1" t="s">
        <v>129</v>
      </c>
      <c r="C143" s="1" t="n">
        <v>2500</v>
      </c>
      <c r="D143" s="1" t="s">
        <v>289</v>
      </c>
      <c r="E143" s="1" t="s">
        <v>287</v>
      </c>
      <c r="F143" s="1" t="n">
        <v>532050.1</v>
      </c>
    </row>
    <row r="144" customFormat="false" ht="15" hidden="false" customHeight="true" outlineLevel="0" collapsed="false">
      <c r="A144" s="1" t="s">
        <v>280</v>
      </c>
      <c r="B144" s="1" t="s">
        <v>129</v>
      </c>
      <c r="C144" s="1" t="n">
        <v>3000</v>
      </c>
      <c r="D144" s="1" t="s">
        <v>290</v>
      </c>
      <c r="E144" s="1" t="s">
        <v>104</v>
      </c>
      <c r="F144" s="1" t="n">
        <v>436000</v>
      </c>
    </row>
    <row r="145" customFormat="false" ht="15" hidden="false" customHeight="true" outlineLevel="0" collapsed="false">
      <c r="A145" s="1" t="s">
        <v>280</v>
      </c>
      <c r="B145" s="1" t="s">
        <v>129</v>
      </c>
      <c r="C145" s="1" t="n">
        <v>3900</v>
      </c>
      <c r="D145" s="1" t="s">
        <v>291</v>
      </c>
      <c r="E145" s="1" t="s">
        <v>104</v>
      </c>
      <c r="F145" s="1" t="n">
        <v>837271.29</v>
      </c>
    </row>
    <row r="146" customFormat="false" ht="15" hidden="false" customHeight="true" outlineLevel="0" collapsed="false">
      <c r="A146" s="1" t="s">
        <v>280</v>
      </c>
      <c r="B146" s="1" t="s">
        <v>274</v>
      </c>
      <c r="C146" s="1" t="n">
        <v>1000</v>
      </c>
      <c r="D146" s="1" t="s">
        <v>282</v>
      </c>
      <c r="E146" s="1" t="s">
        <v>283</v>
      </c>
      <c r="F146" s="1" t="n">
        <v>932268.69</v>
      </c>
    </row>
    <row r="147" customFormat="false" ht="15" hidden="false" customHeight="true" outlineLevel="0" collapsed="false">
      <c r="A147" s="1" t="s">
        <v>280</v>
      </c>
      <c r="B147" s="1" t="s">
        <v>274</v>
      </c>
      <c r="C147" s="1" t="n">
        <v>1200</v>
      </c>
      <c r="D147" s="1" t="s">
        <v>284</v>
      </c>
      <c r="E147" s="1" t="s">
        <v>283</v>
      </c>
      <c r="F147" s="1" t="n">
        <v>214734.04</v>
      </c>
    </row>
    <row r="148" customFormat="false" ht="15" hidden="false" customHeight="true" outlineLevel="0" collapsed="false">
      <c r="A148" s="1" t="s">
        <v>280</v>
      </c>
      <c r="B148" s="1" t="s">
        <v>274</v>
      </c>
      <c r="C148" s="1" t="n">
        <v>1500</v>
      </c>
      <c r="D148" s="1" t="s">
        <v>285</v>
      </c>
      <c r="E148" s="1" t="s">
        <v>283</v>
      </c>
      <c r="F148" s="1" t="n">
        <v>985405.09</v>
      </c>
    </row>
    <row r="149" customFormat="false" ht="15" hidden="false" customHeight="true" outlineLevel="0" collapsed="false">
      <c r="A149" s="1" t="s">
        <v>280</v>
      </c>
      <c r="B149" s="1" t="s">
        <v>274</v>
      </c>
      <c r="C149" s="1" t="n">
        <v>2000</v>
      </c>
      <c r="D149" s="1" t="s">
        <v>286</v>
      </c>
      <c r="E149" s="1" t="s">
        <v>287</v>
      </c>
      <c r="F149" s="1" t="n">
        <v>157438.09</v>
      </c>
    </row>
    <row r="150" customFormat="false" ht="15" hidden="false" customHeight="true" outlineLevel="0" collapsed="false">
      <c r="A150" s="1" t="s">
        <v>280</v>
      </c>
      <c r="B150" s="1" t="s">
        <v>274</v>
      </c>
      <c r="C150" s="1" t="n">
        <v>2100</v>
      </c>
      <c r="D150" s="1" t="s">
        <v>288</v>
      </c>
      <c r="E150" s="1" t="s">
        <v>287</v>
      </c>
      <c r="F150" s="1" t="n">
        <v>72482.43</v>
      </c>
    </row>
    <row r="151" customFormat="false" ht="15" hidden="false" customHeight="true" outlineLevel="0" collapsed="false">
      <c r="A151" s="1" t="s">
        <v>280</v>
      </c>
      <c r="B151" s="1" t="s">
        <v>274</v>
      </c>
      <c r="C151" s="1" t="n">
        <v>2500</v>
      </c>
      <c r="D151" s="1" t="s">
        <v>289</v>
      </c>
      <c r="E151" s="1" t="s">
        <v>287</v>
      </c>
      <c r="F151" s="1" t="n">
        <v>529921.9</v>
      </c>
    </row>
    <row r="152" customFormat="false" ht="15" hidden="false" customHeight="true" outlineLevel="0" collapsed="false">
      <c r="A152" s="1" t="s">
        <v>280</v>
      </c>
      <c r="B152" s="1" t="s">
        <v>274</v>
      </c>
      <c r="C152" s="1" t="n">
        <v>3000</v>
      </c>
      <c r="D152" s="1" t="s">
        <v>290</v>
      </c>
      <c r="E152" s="1" t="s">
        <v>104</v>
      </c>
      <c r="F152" s="1" t="n">
        <v>436000</v>
      </c>
    </row>
    <row r="153" customFormat="false" ht="15" hidden="false" customHeight="true" outlineLevel="0" collapsed="false">
      <c r="A153" s="1" t="s">
        <v>280</v>
      </c>
      <c r="B153" s="1" t="s">
        <v>274</v>
      </c>
      <c r="C153" s="1" t="n">
        <v>3900</v>
      </c>
      <c r="D153" s="1" t="s">
        <v>291</v>
      </c>
      <c r="E153" s="1" t="s">
        <v>104</v>
      </c>
      <c r="F153" s="1" t="n">
        <v>936565.4</v>
      </c>
    </row>
    <row r="154" customFormat="false" ht="15" hidden="false" customHeight="true" outlineLevel="0" collapsed="false">
      <c r="A154" s="1" t="s">
        <v>280</v>
      </c>
      <c r="B154" s="1" t="s">
        <v>275</v>
      </c>
      <c r="C154" s="1" t="n">
        <v>1000</v>
      </c>
      <c r="D154" s="1" t="s">
        <v>282</v>
      </c>
      <c r="E154" s="1" t="s">
        <v>283</v>
      </c>
      <c r="F154" s="1" t="n">
        <v>1030304.13</v>
      </c>
    </row>
    <row r="155" customFormat="false" ht="15" hidden="false" customHeight="true" outlineLevel="0" collapsed="false">
      <c r="A155" s="1" t="s">
        <v>280</v>
      </c>
      <c r="B155" s="1" t="s">
        <v>275</v>
      </c>
      <c r="C155" s="1" t="n">
        <v>1200</v>
      </c>
      <c r="D155" s="1" t="s">
        <v>284</v>
      </c>
      <c r="E155" s="1" t="s">
        <v>283</v>
      </c>
      <c r="F155" s="1" t="n">
        <v>216127.46</v>
      </c>
    </row>
    <row r="156" customFormat="false" ht="15" hidden="false" customHeight="true" outlineLevel="0" collapsed="false">
      <c r="A156" s="1" t="s">
        <v>280</v>
      </c>
      <c r="B156" s="1" t="s">
        <v>275</v>
      </c>
      <c r="C156" s="1" t="n">
        <v>1500</v>
      </c>
      <c r="D156" s="1" t="s">
        <v>285</v>
      </c>
      <c r="E156" s="1" t="s">
        <v>283</v>
      </c>
      <c r="F156" s="1" t="n">
        <v>985979.39</v>
      </c>
    </row>
    <row r="157" customFormat="false" ht="15" hidden="false" customHeight="true" outlineLevel="0" collapsed="false">
      <c r="A157" s="1" t="s">
        <v>280</v>
      </c>
      <c r="B157" s="1" t="s">
        <v>275</v>
      </c>
      <c r="C157" s="1" t="n">
        <v>2000</v>
      </c>
      <c r="D157" s="1" t="s">
        <v>286</v>
      </c>
      <c r="E157" s="1" t="s">
        <v>287</v>
      </c>
      <c r="F157" s="1" t="n">
        <v>158393.88</v>
      </c>
    </row>
    <row r="158" customFormat="false" ht="15" hidden="false" customHeight="true" outlineLevel="0" collapsed="false">
      <c r="A158" s="1" t="s">
        <v>280</v>
      </c>
      <c r="B158" s="1" t="s">
        <v>275</v>
      </c>
      <c r="C158" s="1" t="n">
        <v>2100</v>
      </c>
      <c r="D158" s="1" t="s">
        <v>288</v>
      </c>
      <c r="E158" s="1" t="s">
        <v>287</v>
      </c>
      <c r="F158" s="1" t="n">
        <v>74081.2</v>
      </c>
    </row>
    <row r="159" customFormat="false" ht="15" hidden="false" customHeight="true" outlineLevel="0" collapsed="false">
      <c r="A159" s="1" t="s">
        <v>280</v>
      </c>
      <c r="B159" s="1" t="s">
        <v>275</v>
      </c>
      <c r="C159" s="1" t="n">
        <v>2500</v>
      </c>
      <c r="D159" s="1" t="s">
        <v>289</v>
      </c>
      <c r="E159" s="1" t="s">
        <v>287</v>
      </c>
      <c r="F159" s="1" t="n">
        <v>527802.22</v>
      </c>
    </row>
    <row r="160" customFormat="false" ht="15" hidden="false" customHeight="true" outlineLevel="0" collapsed="false">
      <c r="A160" s="1" t="s">
        <v>280</v>
      </c>
      <c r="B160" s="1" t="s">
        <v>275</v>
      </c>
      <c r="C160" s="1" t="n">
        <v>3000</v>
      </c>
      <c r="D160" s="1" t="s">
        <v>290</v>
      </c>
      <c r="E160" s="1" t="s">
        <v>104</v>
      </c>
      <c r="F160" s="1" t="n">
        <v>436000</v>
      </c>
    </row>
    <row r="161" customFormat="false" ht="15" hidden="false" customHeight="true" outlineLevel="0" collapsed="false">
      <c r="A161" s="1" t="s">
        <v>280</v>
      </c>
      <c r="B161" s="1" t="s">
        <v>275</v>
      </c>
      <c r="C161" s="1" t="n">
        <v>3900</v>
      </c>
      <c r="D161" s="1" t="s">
        <v>291</v>
      </c>
      <c r="E161" s="1" t="s">
        <v>104</v>
      </c>
      <c r="F161" s="1" t="n">
        <v>1036133.68</v>
      </c>
    </row>
    <row r="162" customFormat="false" ht="15" hidden="false" customHeight="true" outlineLevel="0" collapsed="false">
      <c r="A162" s="1" t="s">
        <v>280</v>
      </c>
      <c r="B162" s="1" t="s">
        <v>276</v>
      </c>
      <c r="C162" s="1" t="n">
        <v>1000</v>
      </c>
      <c r="D162" s="1" t="s">
        <v>282</v>
      </c>
      <c r="E162" s="1" t="s">
        <v>283</v>
      </c>
      <c r="F162" s="1" t="n">
        <v>1121002.09</v>
      </c>
    </row>
    <row r="163" customFormat="false" ht="15" hidden="false" customHeight="true" outlineLevel="0" collapsed="false">
      <c r="A163" s="1" t="s">
        <v>280</v>
      </c>
      <c r="B163" s="1" t="s">
        <v>276</v>
      </c>
      <c r="C163" s="1" t="n">
        <v>1200</v>
      </c>
      <c r="D163" s="1" t="s">
        <v>284</v>
      </c>
      <c r="E163" s="1" t="s">
        <v>283</v>
      </c>
      <c r="F163" s="1" t="n">
        <v>220603.71</v>
      </c>
    </row>
    <row r="164" customFormat="false" ht="15" hidden="false" customHeight="true" outlineLevel="0" collapsed="false">
      <c r="A164" s="1" t="s">
        <v>280</v>
      </c>
      <c r="B164" s="1" t="s">
        <v>276</v>
      </c>
      <c r="C164" s="1" t="n">
        <v>1500</v>
      </c>
      <c r="D164" s="1" t="s">
        <v>285</v>
      </c>
      <c r="E164" s="1" t="s">
        <v>283</v>
      </c>
      <c r="F164" s="1" t="n">
        <v>986532.61</v>
      </c>
    </row>
    <row r="165" customFormat="false" ht="15" hidden="false" customHeight="true" outlineLevel="0" collapsed="false">
      <c r="A165" s="1" t="s">
        <v>280</v>
      </c>
      <c r="B165" s="1" t="s">
        <v>276</v>
      </c>
      <c r="C165" s="1" t="n">
        <v>2000</v>
      </c>
      <c r="D165" s="1" t="s">
        <v>286</v>
      </c>
      <c r="E165" s="1" t="s">
        <v>287</v>
      </c>
      <c r="F165" s="1" t="n">
        <v>161927.66</v>
      </c>
    </row>
    <row r="166" customFormat="false" ht="15" hidden="false" customHeight="true" outlineLevel="0" collapsed="false">
      <c r="A166" s="1" t="s">
        <v>280</v>
      </c>
      <c r="B166" s="1" t="s">
        <v>276</v>
      </c>
      <c r="C166" s="1" t="n">
        <v>2100</v>
      </c>
      <c r="D166" s="1" t="s">
        <v>288</v>
      </c>
      <c r="E166" s="1" t="s">
        <v>287</v>
      </c>
      <c r="F166" s="1" t="n">
        <v>75886.68</v>
      </c>
    </row>
    <row r="167" customFormat="false" ht="15" hidden="false" customHeight="true" outlineLevel="0" collapsed="false">
      <c r="A167" s="1" t="s">
        <v>280</v>
      </c>
      <c r="B167" s="1" t="s">
        <v>276</v>
      </c>
      <c r="C167" s="1" t="n">
        <v>2500</v>
      </c>
      <c r="D167" s="1" t="s">
        <v>289</v>
      </c>
      <c r="E167" s="1" t="s">
        <v>287</v>
      </c>
      <c r="F167" s="1" t="n">
        <v>525691.01</v>
      </c>
    </row>
    <row r="168" customFormat="false" ht="15" hidden="false" customHeight="true" outlineLevel="0" collapsed="false">
      <c r="A168" s="1" t="s">
        <v>280</v>
      </c>
      <c r="B168" s="1" t="s">
        <v>276</v>
      </c>
      <c r="C168" s="1" t="n">
        <v>3000</v>
      </c>
      <c r="D168" s="1" t="s">
        <v>290</v>
      </c>
      <c r="E168" s="1" t="s">
        <v>104</v>
      </c>
      <c r="F168" s="1" t="n">
        <v>436000</v>
      </c>
    </row>
    <row r="169" customFormat="false" ht="15" hidden="false" customHeight="true" outlineLevel="0" collapsed="false">
      <c r="A169" s="1" t="s">
        <v>280</v>
      </c>
      <c r="B169" s="1" t="s">
        <v>276</v>
      </c>
      <c r="C169" s="1" t="n">
        <v>3900</v>
      </c>
      <c r="D169" s="1" t="s">
        <v>291</v>
      </c>
      <c r="E169" s="1" t="s">
        <v>104</v>
      </c>
      <c r="F169" s="1" t="n">
        <v>1128633.06</v>
      </c>
    </row>
    <row r="170" customFormat="false" ht="15" hidden="false" customHeight="true" outlineLevel="0" collapsed="false">
      <c r="A170" s="1" t="s">
        <v>280</v>
      </c>
      <c r="B170" s="1" t="s">
        <v>277</v>
      </c>
      <c r="C170" s="1" t="n">
        <v>1000</v>
      </c>
      <c r="D170" s="1" t="s">
        <v>282</v>
      </c>
      <c r="E170" s="1" t="s">
        <v>283</v>
      </c>
      <c r="F170" s="1" t="n">
        <v>1208956.9</v>
      </c>
    </row>
    <row r="171" customFormat="false" ht="15" hidden="false" customHeight="true" outlineLevel="0" collapsed="false">
      <c r="A171" s="1" t="s">
        <v>280</v>
      </c>
      <c r="B171" s="1" t="s">
        <v>277</v>
      </c>
      <c r="C171" s="1" t="n">
        <v>1200</v>
      </c>
      <c r="D171" s="1" t="s">
        <v>284</v>
      </c>
      <c r="E171" s="1" t="s">
        <v>283</v>
      </c>
      <c r="F171" s="1" t="n">
        <v>222666.72</v>
      </c>
    </row>
    <row r="172" customFormat="false" ht="15" hidden="false" customHeight="true" outlineLevel="0" collapsed="false">
      <c r="A172" s="1" t="s">
        <v>280</v>
      </c>
      <c r="B172" s="1" t="s">
        <v>277</v>
      </c>
      <c r="C172" s="1" t="n">
        <v>1500</v>
      </c>
      <c r="D172" s="1" t="s">
        <v>285</v>
      </c>
      <c r="E172" s="1" t="s">
        <v>283</v>
      </c>
      <c r="F172" s="1" t="n">
        <v>987106.73</v>
      </c>
    </row>
    <row r="173" customFormat="false" ht="15" hidden="false" customHeight="true" outlineLevel="0" collapsed="false">
      <c r="A173" s="1" t="s">
        <v>280</v>
      </c>
      <c r="B173" s="1" t="s">
        <v>277</v>
      </c>
      <c r="C173" s="1" t="n">
        <v>2000</v>
      </c>
      <c r="D173" s="1" t="s">
        <v>286</v>
      </c>
      <c r="E173" s="1" t="s">
        <v>287</v>
      </c>
      <c r="F173" s="1" t="n">
        <v>165132.54</v>
      </c>
    </row>
    <row r="174" customFormat="false" ht="15" hidden="false" customHeight="true" outlineLevel="0" collapsed="false">
      <c r="A174" s="1" t="s">
        <v>280</v>
      </c>
      <c r="B174" s="1" t="s">
        <v>277</v>
      </c>
      <c r="C174" s="1" t="n">
        <v>2100</v>
      </c>
      <c r="D174" s="1" t="s">
        <v>288</v>
      </c>
      <c r="E174" s="1" t="s">
        <v>287</v>
      </c>
      <c r="F174" s="1" t="n">
        <v>76076.42</v>
      </c>
    </row>
    <row r="175" customFormat="false" ht="15" hidden="false" customHeight="true" outlineLevel="0" collapsed="false">
      <c r="A175" s="1" t="s">
        <v>280</v>
      </c>
      <c r="B175" s="1" t="s">
        <v>277</v>
      </c>
      <c r="C175" s="1" t="n">
        <v>2500</v>
      </c>
      <c r="D175" s="1" t="s">
        <v>289</v>
      </c>
      <c r="E175" s="1" t="s">
        <v>287</v>
      </c>
      <c r="F175" s="1" t="n">
        <v>523588.24</v>
      </c>
    </row>
    <row r="176" customFormat="false" ht="15" hidden="false" customHeight="true" outlineLevel="0" collapsed="false">
      <c r="A176" s="1" t="s">
        <v>280</v>
      </c>
      <c r="B176" s="1" t="s">
        <v>277</v>
      </c>
      <c r="C176" s="1" t="n">
        <v>3000</v>
      </c>
      <c r="D176" s="1" t="s">
        <v>290</v>
      </c>
      <c r="E176" s="1" t="s">
        <v>104</v>
      </c>
      <c r="F176" s="1" t="n">
        <v>436000</v>
      </c>
    </row>
    <row r="177" customFormat="false" ht="15" hidden="false" customHeight="true" outlineLevel="0" collapsed="false">
      <c r="A177" s="1" t="s">
        <v>280</v>
      </c>
      <c r="B177" s="1" t="s">
        <v>277</v>
      </c>
      <c r="C177" s="1" t="n">
        <v>3900</v>
      </c>
      <c r="D177" s="1" t="s">
        <v>291</v>
      </c>
      <c r="E177" s="1" t="s">
        <v>104</v>
      </c>
      <c r="F177" s="1" t="n">
        <v>1217933.15</v>
      </c>
    </row>
    <row r="178" customFormat="false" ht="15" hidden="false" customHeight="true" outlineLevel="0" collapsed="false">
      <c r="A178" s="1" t="s">
        <v>280</v>
      </c>
      <c r="B178" s="1" t="s">
        <v>278</v>
      </c>
      <c r="C178" s="1" t="n">
        <v>1000</v>
      </c>
      <c r="D178" s="1" t="s">
        <v>282</v>
      </c>
      <c r="E178" s="1" t="s">
        <v>283</v>
      </c>
      <c r="F178" s="1" t="n">
        <v>1303831.3</v>
      </c>
    </row>
    <row r="179" customFormat="false" ht="15" hidden="false" customHeight="true" outlineLevel="0" collapsed="false">
      <c r="A179" s="1" t="s">
        <v>280</v>
      </c>
      <c r="B179" s="1" t="s">
        <v>278</v>
      </c>
      <c r="C179" s="1" t="n">
        <v>1200</v>
      </c>
      <c r="D179" s="1" t="s">
        <v>284</v>
      </c>
      <c r="E179" s="1" t="s">
        <v>283</v>
      </c>
      <c r="F179" s="1" t="n">
        <v>225639.22</v>
      </c>
    </row>
    <row r="180" customFormat="false" ht="15" hidden="false" customHeight="true" outlineLevel="0" collapsed="false">
      <c r="A180" s="1" t="s">
        <v>280</v>
      </c>
      <c r="B180" s="1" t="s">
        <v>278</v>
      </c>
      <c r="C180" s="1" t="n">
        <v>1500</v>
      </c>
      <c r="D180" s="1" t="s">
        <v>285</v>
      </c>
      <c r="E180" s="1" t="s">
        <v>283</v>
      </c>
      <c r="F180" s="1" t="n">
        <v>987689.97</v>
      </c>
    </row>
    <row r="181" customFormat="false" ht="15" hidden="false" customHeight="true" outlineLevel="0" collapsed="false">
      <c r="A181" s="1" t="s">
        <v>280</v>
      </c>
      <c r="B181" s="1" t="s">
        <v>278</v>
      </c>
      <c r="C181" s="1" t="n">
        <v>2000</v>
      </c>
      <c r="D181" s="1" t="s">
        <v>286</v>
      </c>
      <c r="E181" s="1" t="s">
        <v>287</v>
      </c>
      <c r="F181" s="1" t="n">
        <v>166307.18</v>
      </c>
    </row>
    <row r="182" customFormat="false" ht="15" hidden="false" customHeight="true" outlineLevel="0" collapsed="false">
      <c r="A182" s="1" t="s">
        <v>280</v>
      </c>
      <c r="B182" s="1" t="s">
        <v>278</v>
      </c>
      <c r="C182" s="1" t="n">
        <v>2100</v>
      </c>
      <c r="D182" s="1" t="s">
        <v>288</v>
      </c>
      <c r="E182" s="1" t="s">
        <v>287</v>
      </c>
      <c r="F182" s="1" t="n">
        <v>76673.41</v>
      </c>
    </row>
    <row r="183" customFormat="false" ht="15" hidden="false" customHeight="true" outlineLevel="0" collapsed="false">
      <c r="A183" s="1" t="s">
        <v>280</v>
      </c>
      <c r="B183" s="1" t="s">
        <v>278</v>
      </c>
      <c r="C183" s="1" t="n">
        <v>2500</v>
      </c>
      <c r="D183" s="1" t="s">
        <v>289</v>
      </c>
      <c r="E183" s="1" t="s">
        <v>287</v>
      </c>
      <c r="F183" s="1" t="n">
        <v>521493.89</v>
      </c>
    </row>
    <row r="184" customFormat="false" ht="15" hidden="false" customHeight="true" outlineLevel="0" collapsed="false">
      <c r="A184" s="1" t="s">
        <v>280</v>
      </c>
      <c r="B184" s="1" t="s">
        <v>278</v>
      </c>
      <c r="C184" s="1" t="n">
        <v>3000</v>
      </c>
      <c r="D184" s="1" t="s">
        <v>290</v>
      </c>
      <c r="E184" s="1" t="s">
        <v>104</v>
      </c>
      <c r="F184" s="1" t="n">
        <v>436000</v>
      </c>
    </row>
    <row r="185" customFormat="false" ht="15" hidden="false" customHeight="true" outlineLevel="0" collapsed="false">
      <c r="A185" s="1" t="s">
        <v>280</v>
      </c>
      <c r="B185" s="1" t="s">
        <v>278</v>
      </c>
      <c r="C185" s="1" t="n">
        <v>3900</v>
      </c>
      <c r="D185" s="1" t="s">
        <v>291</v>
      </c>
      <c r="E185" s="1" t="s">
        <v>104</v>
      </c>
      <c r="F185" s="1" t="n">
        <v>1316686</v>
      </c>
    </row>
    <row r="186" customFormat="false" ht="15" hidden="false" customHeight="true" outlineLevel="0" collapsed="false">
      <c r="A186" s="1" t="s">
        <v>280</v>
      </c>
      <c r="B186" s="1" t="s">
        <v>279</v>
      </c>
      <c r="C186" s="1" t="n">
        <v>1000</v>
      </c>
      <c r="D186" s="1" t="s">
        <v>282</v>
      </c>
      <c r="E186" s="1" t="s">
        <v>283</v>
      </c>
      <c r="F186" s="1" t="n">
        <v>1399662.5</v>
      </c>
    </row>
    <row r="187" customFormat="false" ht="15" hidden="false" customHeight="true" outlineLevel="0" collapsed="false">
      <c r="A187" s="1" t="s">
        <v>280</v>
      </c>
      <c r="B187" s="1" t="s">
        <v>279</v>
      </c>
      <c r="C187" s="1" t="n">
        <v>1200</v>
      </c>
      <c r="D187" s="1" t="s">
        <v>284</v>
      </c>
      <c r="E187" s="1" t="s">
        <v>283</v>
      </c>
      <c r="F187" s="1" t="n">
        <v>229424.69</v>
      </c>
    </row>
    <row r="188" customFormat="false" ht="15" hidden="false" customHeight="true" outlineLevel="0" collapsed="false">
      <c r="A188" s="1" t="s">
        <v>280</v>
      </c>
      <c r="B188" s="1" t="s">
        <v>279</v>
      </c>
      <c r="C188" s="1" t="n">
        <v>1500</v>
      </c>
      <c r="D188" s="1" t="s">
        <v>285</v>
      </c>
      <c r="E188" s="1" t="s">
        <v>283</v>
      </c>
      <c r="F188" s="1" t="n">
        <v>988402.01</v>
      </c>
    </row>
    <row r="189" customFormat="false" ht="15" hidden="false" customHeight="true" outlineLevel="0" collapsed="false">
      <c r="A189" s="1" t="s">
        <v>280</v>
      </c>
      <c r="B189" s="1" t="s">
        <v>279</v>
      </c>
      <c r="C189" s="1" t="n">
        <v>2000</v>
      </c>
      <c r="D189" s="1" t="s">
        <v>286</v>
      </c>
      <c r="E189" s="1" t="s">
        <v>287</v>
      </c>
      <c r="F189" s="1" t="n">
        <v>165761.63</v>
      </c>
    </row>
    <row r="190" customFormat="false" ht="15" hidden="false" customHeight="true" outlineLevel="0" collapsed="false">
      <c r="A190" s="1" t="s">
        <v>280</v>
      </c>
      <c r="B190" s="1" t="s">
        <v>279</v>
      </c>
      <c r="C190" s="1" t="n">
        <v>2100</v>
      </c>
      <c r="D190" s="1" t="s">
        <v>288</v>
      </c>
      <c r="E190" s="1" t="s">
        <v>287</v>
      </c>
      <c r="F190" s="1" t="n">
        <v>79265.8</v>
      </c>
    </row>
    <row r="191" customFormat="false" ht="15" hidden="false" customHeight="true" outlineLevel="0" collapsed="false">
      <c r="A191" s="1" t="s">
        <v>280</v>
      </c>
      <c r="B191" s="1" t="s">
        <v>279</v>
      </c>
      <c r="C191" s="1" t="n">
        <v>2500</v>
      </c>
      <c r="D191" s="1" t="s">
        <v>289</v>
      </c>
      <c r="E191" s="1" t="s">
        <v>287</v>
      </c>
      <c r="F191" s="1" t="n">
        <v>519407.92</v>
      </c>
    </row>
    <row r="192" customFormat="false" ht="15" hidden="false" customHeight="true" outlineLevel="0" collapsed="false">
      <c r="A192" s="1" t="s">
        <v>280</v>
      </c>
      <c r="B192" s="1" t="s">
        <v>279</v>
      </c>
      <c r="C192" s="1" t="n">
        <v>3000</v>
      </c>
      <c r="D192" s="1" t="s">
        <v>290</v>
      </c>
      <c r="E192" s="1" t="s">
        <v>104</v>
      </c>
      <c r="F192" s="1" t="n">
        <v>436000</v>
      </c>
    </row>
    <row r="193" customFormat="false" ht="15" hidden="false" customHeight="true" outlineLevel="0" collapsed="false">
      <c r="A193" s="1" t="s">
        <v>280</v>
      </c>
      <c r="B193" s="1" t="s">
        <v>279</v>
      </c>
      <c r="C193" s="1" t="n">
        <v>3900</v>
      </c>
      <c r="D193" s="1" t="s">
        <v>291</v>
      </c>
      <c r="E193" s="1" t="s">
        <v>104</v>
      </c>
      <c r="F193" s="1" t="n">
        <v>1417053.86</v>
      </c>
    </row>
    <row r="194" customFormat="false" ht="15" hidden="false" customHeight="true" outlineLevel="0" collapsed="false">
      <c r="A194" s="1" t="s">
        <v>281</v>
      </c>
      <c r="B194" s="1" t="s">
        <v>252</v>
      </c>
      <c r="C194" s="1" t="n">
        <v>1000</v>
      </c>
      <c r="D194" s="1" t="s">
        <v>282</v>
      </c>
      <c r="E194" s="1" t="s">
        <v>283</v>
      </c>
      <c r="F194" s="1" t="n">
        <v>496775.3</v>
      </c>
    </row>
    <row r="195" customFormat="false" ht="15" hidden="false" customHeight="true" outlineLevel="0" collapsed="false">
      <c r="A195" s="1" t="s">
        <v>281</v>
      </c>
      <c r="B195" s="1" t="s">
        <v>252</v>
      </c>
      <c r="C195" s="1" t="n">
        <v>1200</v>
      </c>
      <c r="D195" s="1" t="s">
        <v>284</v>
      </c>
      <c r="E195" s="1" t="s">
        <v>283</v>
      </c>
      <c r="F195" s="1" t="n">
        <v>208981.95</v>
      </c>
    </row>
    <row r="196" customFormat="false" ht="15" hidden="false" customHeight="true" outlineLevel="0" collapsed="false">
      <c r="A196" s="1" t="s">
        <v>281</v>
      </c>
      <c r="B196" s="1" t="s">
        <v>252</v>
      </c>
      <c r="C196" s="1" t="n">
        <v>1500</v>
      </c>
      <c r="D196" s="1" t="s">
        <v>285</v>
      </c>
      <c r="E196" s="1" t="s">
        <v>283</v>
      </c>
      <c r="F196" s="1" t="n">
        <v>1051227.77</v>
      </c>
    </row>
    <row r="197" customFormat="false" ht="15" hidden="false" customHeight="true" outlineLevel="0" collapsed="false">
      <c r="A197" s="1" t="s">
        <v>281</v>
      </c>
      <c r="B197" s="1" t="s">
        <v>252</v>
      </c>
      <c r="C197" s="1" t="n">
        <v>2000</v>
      </c>
      <c r="D197" s="1" t="s">
        <v>286</v>
      </c>
      <c r="E197" s="1" t="s">
        <v>287</v>
      </c>
      <c r="F197" s="1" t="n">
        <v>158464.53</v>
      </c>
    </row>
    <row r="198" customFormat="false" ht="15" hidden="false" customHeight="true" outlineLevel="0" collapsed="false">
      <c r="A198" s="1" t="s">
        <v>281</v>
      </c>
      <c r="B198" s="1" t="s">
        <v>252</v>
      </c>
      <c r="C198" s="1" t="n">
        <v>2100</v>
      </c>
      <c r="D198" s="1" t="s">
        <v>288</v>
      </c>
      <c r="E198" s="1" t="s">
        <v>287</v>
      </c>
      <c r="F198" s="1" t="n">
        <v>69658.11</v>
      </c>
    </row>
    <row r="199" customFormat="false" ht="15" hidden="false" customHeight="true" outlineLevel="0" collapsed="false">
      <c r="A199" s="1" t="s">
        <v>281</v>
      </c>
      <c r="B199" s="1" t="s">
        <v>252</v>
      </c>
      <c r="C199" s="1" t="n">
        <v>2500</v>
      </c>
      <c r="D199" s="1" t="s">
        <v>289</v>
      </c>
      <c r="E199" s="1" t="s">
        <v>287</v>
      </c>
      <c r="F199" s="1" t="n">
        <v>557760</v>
      </c>
    </row>
    <row r="200" customFormat="false" ht="15" hidden="false" customHeight="true" outlineLevel="0" collapsed="false">
      <c r="A200" s="1" t="s">
        <v>281</v>
      </c>
      <c r="B200" s="1" t="s">
        <v>252</v>
      </c>
      <c r="C200" s="1" t="n">
        <v>3000</v>
      </c>
      <c r="D200" s="1" t="s">
        <v>290</v>
      </c>
      <c r="E200" s="1" t="s">
        <v>104</v>
      </c>
      <c r="F200" s="1" t="n">
        <v>450000</v>
      </c>
    </row>
    <row r="201" customFormat="false" ht="15" hidden="false" customHeight="true" outlineLevel="0" collapsed="false">
      <c r="A201" s="1" t="s">
        <v>281</v>
      </c>
      <c r="B201" s="1" t="s">
        <v>252</v>
      </c>
      <c r="C201" s="1" t="n">
        <v>3900</v>
      </c>
      <c r="D201" s="1" t="s">
        <v>291</v>
      </c>
      <c r="E201" s="1" t="s">
        <v>104</v>
      </c>
      <c r="F201" s="1" t="n">
        <v>521102.38</v>
      </c>
    </row>
    <row r="202" customFormat="false" ht="15" hidden="false" customHeight="true" outlineLevel="0" collapsed="false">
      <c r="A202" s="1" t="s">
        <v>281</v>
      </c>
      <c r="B202" s="1" t="s">
        <v>270</v>
      </c>
      <c r="C202" s="1" t="n">
        <v>1000</v>
      </c>
      <c r="D202" s="1" t="s">
        <v>282</v>
      </c>
      <c r="E202" s="1" t="s">
        <v>283</v>
      </c>
      <c r="F202" s="1" t="n">
        <v>699963.53</v>
      </c>
    </row>
    <row r="203" customFormat="false" ht="15" hidden="false" customHeight="true" outlineLevel="0" collapsed="false">
      <c r="A203" s="1" t="s">
        <v>281</v>
      </c>
      <c r="B203" s="1" t="s">
        <v>270</v>
      </c>
      <c r="C203" s="1" t="n">
        <v>1200</v>
      </c>
      <c r="D203" s="1" t="s">
        <v>284</v>
      </c>
      <c r="E203" s="1" t="s">
        <v>283</v>
      </c>
      <c r="F203" s="1" t="n">
        <v>213356.94</v>
      </c>
    </row>
    <row r="204" customFormat="false" ht="15" hidden="false" customHeight="true" outlineLevel="0" collapsed="false">
      <c r="A204" s="1" t="s">
        <v>281</v>
      </c>
      <c r="B204" s="1" t="s">
        <v>270</v>
      </c>
      <c r="C204" s="1" t="n">
        <v>1500</v>
      </c>
      <c r="D204" s="1" t="s">
        <v>285</v>
      </c>
      <c r="E204" s="1" t="s">
        <v>283</v>
      </c>
      <c r="F204" s="1" t="n">
        <v>1052487.87</v>
      </c>
    </row>
    <row r="205" customFormat="false" ht="15" hidden="false" customHeight="true" outlineLevel="0" collapsed="false">
      <c r="A205" s="1" t="s">
        <v>281</v>
      </c>
      <c r="B205" s="1" t="s">
        <v>270</v>
      </c>
      <c r="C205" s="1" t="n">
        <v>2000</v>
      </c>
      <c r="D205" s="1" t="s">
        <v>286</v>
      </c>
      <c r="E205" s="1" t="s">
        <v>287</v>
      </c>
      <c r="F205" s="1" t="n">
        <v>161524.83</v>
      </c>
    </row>
    <row r="206" customFormat="false" ht="15" hidden="false" customHeight="true" outlineLevel="0" collapsed="false">
      <c r="A206" s="1" t="s">
        <v>281</v>
      </c>
      <c r="B206" s="1" t="s">
        <v>270</v>
      </c>
      <c r="C206" s="1" t="n">
        <v>2100</v>
      </c>
      <c r="D206" s="1" t="s">
        <v>288</v>
      </c>
      <c r="E206" s="1" t="s">
        <v>287</v>
      </c>
      <c r="F206" s="1" t="n">
        <v>70786.46</v>
      </c>
    </row>
    <row r="207" customFormat="false" ht="15" hidden="false" customHeight="true" outlineLevel="0" collapsed="false">
      <c r="A207" s="1" t="s">
        <v>281</v>
      </c>
      <c r="B207" s="1" t="s">
        <v>270</v>
      </c>
      <c r="C207" s="1" t="n">
        <v>2500</v>
      </c>
      <c r="D207" s="1" t="s">
        <v>289</v>
      </c>
      <c r="E207" s="1" t="s">
        <v>287</v>
      </c>
      <c r="F207" s="1" t="n">
        <v>555528.96</v>
      </c>
    </row>
    <row r="208" customFormat="false" ht="15" hidden="false" customHeight="true" outlineLevel="0" collapsed="false">
      <c r="A208" s="1" t="s">
        <v>281</v>
      </c>
      <c r="B208" s="1" t="s">
        <v>270</v>
      </c>
      <c r="C208" s="1" t="n">
        <v>3000</v>
      </c>
      <c r="D208" s="1" t="s">
        <v>290</v>
      </c>
      <c r="E208" s="1" t="s">
        <v>104</v>
      </c>
      <c r="F208" s="1" t="n">
        <v>450000</v>
      </c>
    </row>
    <row r="209" customFormat="false" ht="15" hidden="false" customHeight="true" outlineLevel="0" collapsed="false">
      <c r="A209" s="1" t="s">
        <v>281</v>
      </c>
      <c r="B209" s="1" t="s">
        <v>270</v>
      </c>
      <c r="C209" s="1" t="n">
        <v>3900</v>
      </c>
      <c r="D209" s="1" t="s">
        <v>291</v>
      </c>
      <c r="E209" s="1" t="s">
        <v>104</v>
      </c>
      <c r="F209" s="1" t="n">
        <v>727968.09</v>
      </c>
    </row>
    <row r="210" customFormat="false" ht="15" hidden="false" customHeight="true" outlineLevel="0" collapsed="false">
      <c r="A210" s="1" t="s">
        <v>281</v>
      </c>
      <c r="B210" s="1" t="s">
        <v>271</v>
      </c>
      <c r="C210" s="1" t="n">
        <v>1000</v>
      </c>
      <c r="D210" s="1" t="s">
        <v>282</v>
      </c>
      <c r="E210" s="1" t="s">
        <v>283</v>
      </c>
      <c r="F210" s="1" t="n">
        <v>900047.32</v>
      </c>
    </row>
    <row r="211" customFormat="false" ht="15" hidden="false" customHeight="true" outlineLevel="0" collapsed="false">
      <c r="A211" s="1" t="s">
        <v>281</v>
      </c>
      <c r="B211" s="1" t="s">
        <v>271</v>
      </c>
      <c r="C211" s="1" t="n">
        <v>1200</v>
      </c>
      <c r="D211" s="1" t="s">
        <v>284</v>
      </c>
      <c r="E211" s="1" t="s">
        <v>283</v>
      </c>
      <c r="F211" s="1" t="n">
        <v>215320.2</v>
      </c>
    </row>
    <row r="212" customFormat="false" ht="15" hidden="false" customHeight="true" outlineLevel="0" collapsed="false">
      <c r="A212" s="1" t="s">
        <v>281</v>
      </c>
      <c r="B212" s="1" t="s">
        <v>271</v>
      </c>
      <c r="C212" s="1" t="n">
        <v>1500</v>
      </c>
      <c r="D212" s="1" t="s">
        <v>285</v>
      </c>
      <c r="E212" s="1" t="s">
        <v>283</v>
      </c>
      <c r="F212" s="1" t="n">
        <v>1053733.62</v>
      </c>
    </row>
    <row r="213" customFormat="false" ht="15" hidden="false" customHeight="true" outlineLevel="0" collapsed="false">
      <c r="A213" s="1" t="s">
        <v>281</v>
      </c>
      <c r="B213" s="1" t="s">
        <v>271</v>
      </c>
      <c r="C213" s="1" t="n">
        <v>2000</v>
      </c>
      <c r="D213" s="1" t="s">
        <v>286</v>
      </c>
      <c r="E213" s="1" t="s">
        <v>287</v>
      </c>
      <c r="F213" s="1" t="n">
        <v>160781.69</v>
      </c>
    </row>
    <row r="214" customFormat="false" ht="15" hidden="false" customHeight="true" outlineLevel="0" collapsed="false">
      <c r="A214" s="1" t="s">
        <v>281</v>
      </c>
      <c r="B214" s="1" t="s">
        <v>271</v>
      </c>
      <c r="C214" s="1" t="n">
        <v>2100</v>
      </c>
      <c r="D214" s="1" t="s">
        <v>288</v>
      </c>
      <c r="E214" s="1" t="s">
        <v>287</v>
      </c>
      <c r="F214" s="1" t="n">
        <v>71362.26</v>
      </c>
    </row>
    <row r="215" customFormat="false" ht="15" hidden="false" customHeight="true" outlineLevel="0" collapsed="false">
      <c r="A215" s="1" t="s">
        <v>281</v>
      </c>
      <c r="B215" s="1" t="s">
        <v>271</v>
      </c>
      <c r="C215" s="1" t="n">
        <v>2500</v>
      </c>
      <c r="D215" s="1" t="s">
        <v>289</v>
      </c>
      <c r="E215" s="1" t="s">
        <v>287</v>
      </c>
      <c r="F215" s="1" t="n">
        <v>553306.84</v>
      </c>
    </row>
    <row r="216" customFormat="false" ht="15" hidden="false" customHeight="true" outlineLevel="0" collapsed="false">
      <c r="A216" s="1" t="s">
        <v>281</v>
      </c>
      <c r="B216" s="1" t="s">
        <v>271</v>
      </c>
      <c r="C216" s="1" t="n">
        <v>3000</v>
      </c>
      <c r="D216" s="1" t="s">
        <v>290</v>
      </c>
      <c r="E216" s="1" t="s">
        <v>104</v>
      </c>
      <c r="F216" s="1" t="n">
        <v>450000</v>
      </c>
    </row>
    <row r="217" customFormat="false" ht="15" hidden="false" customHeight="true" outlineLevel="0" collapsed="false">
      <c r="A217" s="1" t="s">
        <v>281</v>
      </c>
      <c r="B217" s="1" t="s">
        <v>271</v>
      </c>
      <c r="C217" s="1" t="n">
        <v>3900</v>
      </c>
      <c r="D217" s="1" t="s">
        <v>291</v>
      </c>
      <c r="E217" s="1" t="s">
        <v>104</v>
      </c>
      <c r="F217" s="1" t="n">
        <v>933650.34</v>
      </c>
    </row>
    <row r="218" customFormat="false" ht="15" hidden="false" customHeight="true" outlineLevel="0" collapsed="false">
      <c r="A218" s="1" t="s">
        <v>281</v>
      </c>
      <c r="B218" s="1" t="s">
        <v>272</v>
      </c>
      <c r="C218" s="1" t="n">
        <v>1000</v>
      </c>
      <c r="D218" s="1" t="s">
        <v>282</v>
      </c>
      <c r="E218" s="1" t="s">
        <v>283</v>
      </c>
      <c r="F218" s="1" t="n">
        <v>1113052.76</v>
      </c>
    </row>
    <row r="219" customFormat="false" ht="15" hidden="false" customHeight="true" outlineLevel="0" collapsed="false">
      <c r="A219" s="1" t="s">
        <v>281</v>
      </c>
      <c r="B219" s="1" t="s">
        <v>272</v>
      </c>
      <c r="C219" s="1" t="n">
        <v>1200</v>
      </c>
      <c r="D219" s="1" t="s">
        <v>284</v>
      </c>
      <c r="E219" s="1" t="s">
        <v>283</v>
      </c>
      <c r="F219" s="1" t="n">
        <v>215288.71</v>
      </c>
    </row>
    <row r="220" customFormat="false" ht="15" hidden="false" customHeight="true" outlineLevel="0" collapsed="false">
      <c r="A220" s="1" t="s">
        <v>281</v>
      </c>
      <c r="B220" s="1" t="s">
        <v>272</v>
      </c>
      <c r="C220" s="1" t="n">
        <v>1500</v>
      </c>
      <c r="D220" s="1" t="s">
        <v>285</v>
      </c>
      <c r="E220" s="1" t="s">
        <v>283</v>
      </c>
      <c r="F220" s="1" t="n">
        <v>1055077.72</v>
      </c>
    </row>
    <row r="221" customFormat="false" ht="15" hidden="false" customHeight="true" outlineLevel="0" collapsed="false">
      <c r="A221" s="1" t="s">
        <v>281</v>
      </c>
      <c r="B221" s="1" t="s">
        <v>272</v>
      </c>
      <c r="C221" s="1" t="n">
        <v>2000</v>
      </c>
      <c r="D221" s="1" t="s">
        <v>286</v>
      </c>
      <c r="E221" s="1" t="s">
        <v>287</v>
      </c>
      <c r="F221" s="1" t="n">
        <v>164719.49</v>
      </c>
    </row>
    <row r="222" customFormat="false" ht="15" hidden="false" customHeight="true" outlineLevel="0" collapsed="false">
      <c r="A222" s="1" t="s">
        <v>281</v>
      </c>
      <c r="B222" s="1" t="s">
        <v>272</v>
      </c>
      <c r="C222" s="1" t="n">
        <v>2100</v>
      </c>
      <c r="D222" s="1" t="s">
        <v>288</v>
      </c>
      <c r="E222" s="1" t="s">
        <v>287</v>
      </c>
      <c r="F222" s="1" t="n">
        <v>71715.2</v>
      </c>
    </row>
    <row r="223" customFormat="false" ht="15" hidden="false" customHeight="true" outlineLevel="0" collapsed="false">
      <c r="A223" s="1" t="s">
        <v>281</v>
      </c>
      <c r="B223" s="1" t="s">
        <v>272</v>
      </c>
      <c r="C223" s="1" t="n">
        <v>2500</v>
      </c>
      <c r="D223" s="1" t="s">
        <v>289</v>
      </c>
      <c r="E223" s="1" t="s">
        <v>287</v>
      </c>
      <c r="F223" s="1" t="n">
        <v>551093.62</v>
      </c>
    </row>
    <row r="224" customFormat="false" ht="15" hidden="false" customHeight="true" outlineLevel="0" collapsed="false">
      <c r="A224" s="1" t="s">
        <v>281</v>
      </c>
      <c r="B224" s="1" t="s">
        <v>272</v>
      </c>
      <c r="C224" s="1" t="n">
        <v>3000</v>
      </c>
      <c r="D224" s="1" t="s">
        <v>290</v>
      </c>
      <c r="E224" s="1" t="s">
        <v>104</v>
      </c>
      <c r="F224" s="1" t="n">
        <v>450000</v>
      </c>
    </row>
    <row r="225" customFormat="false" ht="15" hidden="false" customHeight="true" outlineLevel="0" collapsed="false">
      <c r="A225" s="1" t="s">
        <v>281</v>
      </c>
      <c r="B225" s="1" t="s">
        <v>272</v>
      </c>
      <c r="C225" s="1" t="n">
        <v>3900</v>
      </c>
      <c r="D225" s="1" t="s">
        <v>291</v>
      </c>
      <c r="E225" s="1" t="s">
        <v>104</v>
      </c>
      <c r="F225" s="1" t="n">
        <v>1145890.88</v>
      </c>
    </row>
    <row r="226" customFormat="false" ht="15" hidden="false" customHeight="true" outlineLevel="0" collapsed="false">
      <c r="A226" s="1" t="s">
        <v>281</v>
      </c>
      <c r="B226" s="1" t="s">
        <v>273</v>
      </c>
      <c r="C226" s="1" t="n">
        <v>1000</v>
      </c>
      <c r="D226" s="1" t="s">
        <v>282</v>
      </c>
      <c r="E226" s="1" t="s">
        <v>283</v>
      </c>
      <c r="F226" s="1" t="n">
        <v>1326762.11</v>
      </c>
    </row>
    <row r="227" customFormat="false" ht="15" hidden="false" customHeight="true" outlineLevel="0" collapsed="false">
      <c r="A227" s="1" t="s">
        <v>281</v>
      </c>
      <c r="B227" s="1" t="s">
        <v>273</v>
      </c>
      <c r="C227" s="1" t="n">
        <v>1200</v>
      </c>
      <c r="D227" s="1" t="s">
        <v>284</v>
      </c>
      <c r="E227" s="1" t="s">
        <v>283</v>
      </c>
      <c r="F227" s="1" t="n">
        <v>214812.22</v>
      </c>
    </row>
    <row r="228" customFormat="false" ht="15" hidden="false" customHeight="true" outlineLevel="0" collapsed="false">
      <c r="A228" s="1" t="s">
        <v>281</v>
      </c>
      <c r="B228" s="1" t="s">
        <v>273</v>
      </c>
      <c r="C228" s="1" t="n">
        <v>1500</v>
      </c>
      <c r="D228" s="1" t="s">
        <v>285</v>
      </c>
      <c r="E228" s="1" t="s">
        <v>283</v>
      </c>
      <c r="F228" s="1" t="n">
        <v>1056503.97</v>
      </c>
    </row>
    <row r="229" customFormat="false" ht="15" hidden="false" customHeight="true" outlineLevel="0" collapsed="false">
      <c r="A229" s="1" t="s">
        <v>281</v>
      </c>
      <c r="B229" s="1" t="s">
        <v>273</v>
      </c>
      <c r="C229" s="1" t="n">
        <v>2000</v>
      </c>
      <c r="D229" s="1" t="s">
        <v>286</v>
      </c>
      <c r="E229" s="1" t="s">
        <v>287</v>
      </c>
      <c r="F229" s="1" t="n">
        <v>165416.03</v>
      </c>
    </row>
    <row r="230" customFormat="false" ht="15" hidden="false" customHeight="true" outlineLevel="0" collapsed="false">
      <c r="A230" s="1" t="s">
        <v>281</v>
      </c>
      <c r="B230" s="1" t="s">
        <v>273</v>
      </c>
      <c r="C230" s="1" t="n">
        <v>2100</v>
      </c>
      <c r="D230" s="1" t="s">
        <v>288</v>
      </c>
      <c r="E230" s="1" t="s">
        <v>287</v>
      </c>
      <c r="F230" s="1" t="n">
        <v>72628.14</v>
      </c>
    </row>
    <row r="231" customFormat="false" ht="15" hidden="false" customHeight="true" outlineLevel="0" collapsed="false">
      <c r="A231" s="1" t="s">
        <v>281</v>
      </c>
      <c r="B231" s="1" t="s">
        <v>273</v>
      </c>
      <c r="C231" s="1" t="n">
        <v>2500</v>
      </c>
      <c r="D231" s="1" t="s">
        <v>289</v>
      </c>
      <c r="E231" s="1" t="s">
        <v>287</v>
      </c>
      <c r="F231" s="1" t="n">
        <v>548889.24</v>
      </c>
    </row>
    <row r="232" customFormat="false" ht="15" hidden="false" customHeight="true" outlineLevel="0" collapsed="false">
      <c r="A232" s="1" t="s">
        <v>281</v>
      </c>
      <c r="B232" s="1" t="s">
        <v>273</v>
      </c>
      <c r="C232" s="1" t="n">
        <v>3000</v>
      </c>
      <c r="D232" s="1" t="s">
        <v>290</v>
      </c>
      <c r="E232" s="1" t="s">
        <v>104</v>
      </c>
      <c r="F232" s="1" t="n">
        <v>450000</v>
      </c>
    </row>
    <row r="233" customFormat="false" ht="15" hidden="false" customHeight="true" outlineLevel="0" collapsed="false">
      <c r="A233" s="1" t="s">
        <v>281</v>
      </c>
      <c r="B233" s="1" t="s">
        <v>273</v>
      </c>
      <c r="C233" s="1" t="n">
        <v>3900</v>
      </c>
      <c r="D233" s="1" t="s">
        <v>291</v>
      </c>
      <c r="E233" s="1" t="s">
        <v>104</v>
      </c>
      <c r="F233" s="1" t="n">
        <v>1361144.9</v>
      </c>
    </row>
    <row r="234" customFormat="false" ht="15" hidden="false" customHeight="true" outlineLevel="0" collapsed="false">
      <c r="A234" s="1" t="s">
        <v>281</v>
      </c>
      <c r="B234" s="1" t="s">
        <v>129</v>
      </c>
      <c r="C234" s="1" t="n">
        <v>1000</v>
      </c>
      <c r="D234" s="1" t="s">
        <v>282</v>
      </c>
      <c r="E234" s="1" t="s">
        <v>283</v>
      </c>
      <c r="F234" s="1" t="n">
        <v>1554919.25</v>
      </c>
    </row>
    <row r="235" customFormat="false" ht="15" hidden="false" customHeight="true" outlineLevel="0" collapsed="false">
      <c r="A235" s="1" t="s">
        <v>281</v>
      </c>
      <c r="B235" s="1" t="s">
        <v>129</v>
      </c>
      <c r="C235" s="1" t="n">
        <v>1200</v>
      </c>
      <c r="D235" s="1" t="s">
        <v>284</v>
      </c>
      <c r="E235" s="1" t="s">
        <v>283</v>
      </c>
      <c r="F235" s="1" t="n">
        <v>215121.05</v>
      </c>
    </row>
    <row r="236" customFormat="false" ht="15" hidden="false" customHeight="true" outlineLevel="0" collapsed="false">
      <c r="A236" s="1" t="s">
        <v>281</v>
      </c>
      <c r="B236" s="1" t="s">
        <v>129</v>
      </c>
      <c r="C236" s="1" t="n">
        <v>1500</v>
      </c>
      <c r="D236" s="1" t="s">
        <v>285</v>
      </c>
      <c r="E236" s="1" t="s">
        <v>283</v>
      </c>
      <c r="F236" s="1" t="n">
        <v>1058192.45</v>
      </c>
    </row>
    <row r="237" customFormat="false" ht="15" hidden="false" customHeight="true" outlineLevel="0" collapsed="false">
      <c r="A237" s="1" t="s">
        <v>281</v>
      </c>
      <c r="B237" s="1" t="s">
        <v>129</v>
      </c>
      <c r="C237" s="1" t="n">
        <v>2000</v>
      </c>
      <c r="D237" s="1" t="s">
        <v>286</v>
      </c>
      <c r="E237" s="1" t="s">
        <v>287</v>
      </c>
      <c r="F237" s="1" t="n">
        <v>164860.48</v>
      </c>
    </row>
    <row r="238" customFormat="false" ht="15" hidden="false" customHeight="true" outlineLevel="0" collapsed="false">
      <c r="A238" s="1" t="s">
        <v>281</v>
      </c>
      <c r="B238" s="1" t="s">
        <v>129</v>
      </c>
      <c r="C238" s="1" t="n">
        <v>2100</v>
      </c>
      <c r="D238" s="1" t="s">
        <v>288</v>
      </c>
      <c r="E238" s="1" t="s">
        <v>287</v>
      </c>
      <c r="F238" s="1" t="n">
        <v>73371.82</v>
      </c>
    </row>
    <row r="239" customFormat="false" ht="15" hidden="false" customHeight="true" outlineLevel="0" collapsed="false">
      <c r="A239" s="1" t="s">
        <v>281</v>
      </c>
      <c r="B239" s="1" t="s">
        <v>129</v>
      </c>
      <c r="C239" s="1" t="n">
        <v>2500</v>
      </c>
      <c r="D239" s="1" t="s">
        <v>289</v>
      </c>
      <c r="E239" s="1" t="s">
        <v>287</v>
      </c>
      <c r="F239" s="1" t="n">
        <v>546693.69</v>
      </c>
    </row>
    <row r="240" customFormat="false" ht="15" hidden="false" customHeight="true" outlineLevel="0" collapsed="false">
      <c r="A240" s="1" t="s">
        <v>281</v>
      </c>
      <c r="B240" s="1" t="s">
        <v>129</v>
      </c>
      <c r="C240" s="1" t="n">
        <v>3000</v>
      </c>
      <c r="D240" s="1" t="s">
        <v>290</v>
      </c>
      <c r="E240" s="1" t="s">
        <v>104</v>
      </c>
      <c r="F240" s="1" t="n">
        <v>450000</v>
      </c>
    </row>
    <row r="241" customFormat="false" ht="15" hidden="false" customHeight="true" outlineLevel="0" collapsed="false">
      <c r="A241" s="1" t="s">
        <v>281</v>
      </c>
      <c r="B241" s="1" t="s">
        <v>129</v>
      </c>
      <c r="C241" s="1" t="n">
        <v>3900</v>
      </c>
      <c r="D241" s="1" t="s">
        <v>291</v>
      </c>
      <c r="E241" s="1" t="s">
        <v>104</v>
      </c>
      <c r="F241" s="1" t="n">
        <v>1593306.76</v>
      </c>
    </row>
    <row r="242" customFormat="false" ht="15" hidden="false" customHeight="true" outlineLevel="0" collapsed="false">
      <c r="A242" s="1" t="s">
        <v>281</v>
      </c>
      <c r="B242" s="1" t="s">
        <v>274</v>
      </c>
      <c r="C242" s="1" t="n">
        <v>1000</v>
      </c>
      <c r="D242" s="1" t="s">
        <v>282</v>
      </c>
      <c r="E242" s="1" t="s">
        <v>283</v>
      </c>
      <c r="F242" s="1" t="n">
        <v>1759713.75</v>
      </c>
    </row>
    <row r="243" customFormat="false" ht="15" hidden="false" customHeight="true" outlineLevel="0" collapsed="false">
      <c r="A243" s="1" t="s">
        <v>281</v>
      </c>
      <c r="B243" s="1" t="s">
        <v>274</v>
      </c>
      <c r="C243" s="1" t="n">
        <v>1200</v>
      </c>
      <c r="D243" s="1" t="s">
        <v>284</v>
      </c>
      <c r="E243" s="1" t="s">
        <v>283</v>
      </c>
      <c r="F243" s="1" t="n">
        <v>217855.94</v>
      </c>
    </row>
    <row r="244" customFormat="false" ht="15" hidden="false" customHeight="true" outlineLevel="0" collapsed="false">
      <c r="A244" s="1" t="s">
        <v>281</v>
      </c>
      <c r="B244" s="1" t="s">
        <v>274</v>
      </c>
      <c r="C244" s="1" t="n">
        <v>1500</v>
      </c>
      <c r="D244" s="1" t="s">
        <v>285</v>
      </c>
      <c r="E244" s="1" t="s">
        <v>283</v>
      </c>
      <c r="F244" s="1" t="n">
        <v>1059507.19</v>
      </c>
    </row>
    <row r="245" customFormat="false" ht="15" hidden="false" customHeight="true" outlineLevel="0" collapsed="false">
      <c r="A245" s="1" t="s">
        <v>281</v>
      </c>
      <c r="B245" s="1" t="s">
        <v>274</v>
      </c>
      <c r="C245" s="1" t="n">
        <v>2000</v>
      </c>
      <c r="D245" s="1" t="s">
        <v>286</v>
      </c>
      <c r="E245" s="1" t="s">
        <v>287</v>
      </c>
      <c r="F245" s="1" t="n">
        <v>165093.12</v>
      </c>
    </row>
    <row r="246" customFormat="false" ht="15" hidden="false" customHeight="true" outlineLevel="0" collapsed="false">
      <c r="A246" s="1" t="s">
        <v>281</v>
      </c>
      <c r="B246" s="1" t="s">
        <v>274</v>
      </c>
      <c r="C246" s="1" t="n">
        <v>2100</v>
      </c>
      <c r="D246" s="1" t="s">
        <v>288</v>
      </c>
      <c r="E246" s="1" t="s">
        <v>287</v>
      </c>
      <c r="F246" s="1" t="n">
        <v>73400.78</v>
      </c>
    </row>
    <row r="247" customFormat="false" ht="15" hidden="false" customHeight="true" outlineLevel="0" collapsed="false">
      <c r="A247" s="1" t="s">
        <v>281</v>
      </c>
      <c r="B247" s="1" t="s">
        <v>274</v>
      </c>
      <c r="C247" s="1" t="n">
        <v>2500</v>
      </c>
      <c r="D247" s="1" t="s">
        <v>289</v>
      </c>
      <c r="E247" s="1" t="s">
        <v>287</v>
      </c>
      <c r="F247" s="1" t="n">
        <v>544506.91</v>
      </c>
    </row>
    <row r="248" customFormat="false" ht="15" hidden="false" customHeight="true" outlineLevel="0" collapsed="false">
      <c r="A248" s="1" t="s">
        <v>281</v>
      </c>
      <c r="B248" s="1" t="s">
        <v>274</v>
      </c>
      <c r="C248" s="1" t="n">
        <v>3000</v>
      </c>
      <c r="D248" s="1" t="s">
        <v>290</v>
      </c>
      <c r="E248" s="1" t="s">
        <v>104</v>
      </c>
      <c r="F248" s="1" t="n">
        <v>450000</v>
      </c>
    </row>
    <row r="249" customFormat="false" ht="15" hidden="false" customHeight="true" outlineLevel="0" collapsed="false">
      <c r="A249" s="1" t="s">
        <v>281</v>
      </c>
      <c r="B249" s="1" t="s">
        <v>274</v>
      </c>
      <c r="C249" s="1" t="n">
        <v>3900</v>
      </c>
      <c r="D249" s="1" t="s">
        <v>291</v>
      </c>
      <c r="E249" s="1" t="s">
        <v>104</v>
      </c>
      <c r="F249" s="1" t="n">
        <v>1804076.08</v>
      </c>
    </row>
    <row r="250" customFormat="false" ht="15" hidden="false" customHeight="true" outlineLevel="0" collapsed="false">
      <c r="A250" s="1" t="s">
        <v>281</v>
      </c>
      <c r="B250" s="1" t="s">
        <v>275</v>
      </c>
      <c r="C250" s="1" t="n">
        <v>1000</v>
      </c>
      <c r="D250" s="1" t="s">
        <v>282</v>
      </c>
      <c r="E250" s="1" t="s">
        <v>283</v>
      </c>
      <c r="F250" s="1" t="n">
        <v>1961165.59</v>
      </c>
    </row>
    <row r="251" customFormat="false" ht="15" hidden="false" customHeight="true" outlineLevel="0" collapsed="false">
      <c r="A251" s="1" t="s">
        <v>281</v>
      </c>
      <c r="B251" s="1" t="s">
        <v>275</v>
      </c>
      <c r="C251" s="1" t="n">
        <v>1200</v>
      </c>
      <c r="D251" s="1" t="s">
        <v>284</v>
      </c>
      <c r="E251" s="1" t="s">
        <v>283</v>
      </c>
      <c r="F251" s="1" t="n">
        <v>220552.09</v>
      </c>
    </row>
    <row r="252" customFormat="false" ht="15" hidden="false" customHeight="true" outlineLevel="0" collapsed="false">
      <c r="A252" s="1" t="s">
        <v>281</v>
      </c>
      <c r="B252" s="1" t="s">
        <v>275</v>
      </c>
      <c r="C252" s="1" t="n">
        <v>1500</v>
      </c>
      <c r="D252" s="1" t="s">
        <v>285</v>
      </c>
      <c r="E252" s="1" t="s">
        <v>283</v>
      </c>
      <c r="F252" s="1" t="n">
        <v>1060703</v>
      </c>
    </row>
    <row r="253" customFormat="false" ht="15" hidden="false" customHeight="true" outlineLevel="0" collapsed="false">
      <c r="A253" s="1" t="s">
        <v>281</v>
      </c>
      <c r="B253" s="1" t="s">
        <v>275</v>
      </c>
      <c r="C253" s="1" t="n">
        <v>2000</v>
      </c>
      <c r="D253" s="1" t="s">
        <v>286</v>
      </c>
      <c r="E253" s="1" t="s">
        <v>287</v>
      </c>
      <c r="F253" s="1" t="n">
        <v>162972.91</v>
      </c>
    </row>
    <row r="254" customFormat="false" ht="15" hidden="false" customHeight="true" outlineLevel="0" collapsed="false">
      <c r="A254" s="1" t="s">
        <v>281</v>
      </c>
      <c r="B254" s="1" t="s">
        <v>275</v>
      </c>
      <c r="C254" s="1" t="n">
        <v>2100</v>
      </c>
      <c r="D254" s="1" t="s">
        <v>288</v>
      </c>
      <c r="E254" s="1" t="s">
        <v>287</v>
      </c>
      <c r="F254" s="1" t="n">
        <v>72493.32</v>
      </c>
    </row>
    <row r="255" customFormat="false" ht="15" hidden="false" customHeight="true" outlineLevel="0" collapsed="false">
      <c r="A255" s="1" t="s">
        <v>281</v>
      </c>
      <c r="B255" s="1" t="s">
        <v>275</v>
      </c>
      <c r="C255" s="1" t="n">
        <v>2500</v>
      </c>
      <c r="D255" s="1" t="s">
        <v>289</v>
      </c>
      <c r="E255" s="1" t="s">
        <v>287</v>
      </c>
      <c r="F255" s="1" t="n">
        <v>542328.88</v>
      </c>
    </row>
    <row r="256" customFormat="false" ht="15" hidden="false" customHeight="true" outlineLevel="0" collapsed="false">
      <c r="A256" s="1" t="s">
        <v>281</v>
      </c>
      <c r="B256" s="1" t="s">
        <v>275</v>
      </c>
      <c r="C256" s="1" t="n">
        <v>3000</v>
      </c>
      <c r="D256" s="1" t="s">
        <v>290</v>
      </c>
      <c r="E256" s="1" t="s">
        <v>104</v>
      </c>
      <c r="F256" s="1" t="n">
        <v>450000</v>
      </c>
    </row>
    <row r="257" customFormat="false" ht="15" hidden="false" customHeight="true" outlineLevel="0" collapsed="false">
      <c r="A257" s="1" t="s">
        <v>281</v>
      </c>
      <c r="B257" s="1" t="s">
        <v>275</v>
      </c>
      <c r="C257" s="1" t="n">
        <v>3900</v>
      </c>
      <c r="D257" s="1" t="s">
        <v>291</v>
      </c>
      <c r="E257" s="1" t="s">
        <v>104</v>
      </c>
      <c r="F257" s="1" t="n">
        <v>2014625.58</v>
      </c>
    </row>
    <row r="258" customFormat="false" ht="15" hidden="false" customHeight="true" outlineLevel="0" collapsed="false">
      <c r="A258" s="1" t="s">
        <v>281</v>
      </c>
      <c r="B258" s="1" t="s">
        <v>276</v>
      </c>
      <c r="C258" s="1" t="n">
        <v>1000</v>
      </c>
      <c r="D258" s="1" t="s">
        <v>282</v>
      </c>
      <c r="E258" s="1" t="s">
        <v>283</v>
      </c>
      <c r="F258" s="1" t="n">
        <v>2157837.64</v>
      </c>
    </row>
    <row r="259" customFormat="false" ht="15" hidden="false" customHeight="true" outlineLevel="0" collapsed="false">
      <c r="A259" s="1" t="s">
        <v>281</v>
      </c>
      <c r="B259" s="1" t="s">
        <v>276</v>
      </c>
      <c r="C259" s="1" t="n">
        <v>1200</v>
      </c>
      <c r="D259" s="1" t="s">
        <v>284</v>
      </c>
      <c r="E259" s="1" t="s">
        <v>283</v>
      </c>
      <c r="F259" s="1" t="n">
        <v>220396.76</v>
      </c>
    </row>
    <row r="260" customFormat="false" ht="15" hidden="false" customHeight="true" outlineLevel="0" collapsed="false">
      <c r="A260" s="1" t="s">
        <v>281</v>
      </c>
      <c r="B260" s="1" t="s">
        <v>276</v>
      </c>
      <c r="C260" s="1" t="n">
        <v>1500</v>
      </c>
      <c r="D260" s="1" t="s">
        <v>285</v>
      </c>
      <c r="E260" s="1" t="s">
        <v>283</v>
      </c>
      <c r="F260" s="1" t="n">
        <v>1061921.16</v>
      </c>
    </row>
    <row r="261" customFormat="false" ht="15" hidden="false" customHeight="true" outlineLevel="0" collapsed="false">
      <c r="A261" s="1" t="s">
        <v>281</v>
      </c>
      <c r="B261" s="1" t="s">
        <v>276</v>
      </c>
      <c r="C261" s="1" t="n">
        <v>2000</v>
      </c>
      <c r="D261" s="1" t="s">
        <v>286</v>
      </c>
      <c r="E261" s="1" t="s">
        <v>287</v>
      </c>
      <c r="F261" s="1" t="n">
        <v>163939.29</v>
      </c>
    </row>
    <row r="262" customFormat="false" ht="15" hidden="false" customHeight="true" outlineLevel="0" collapsed="false">
      <c r="A262" s="1" t="s">
        <v>281</v>
      </c>
      <c r="B262" s="1" t="s">
        <v>276</v>
      </c>
      <c r="C262" s="1" t="n">
        <v>2100</v>
      </c>
      <c r="D262" s="1" t="s">
        <v>288</v>
      </c>
      <c r="E262" s="1" t="s">
        <v>287</v>
      </c>
      <c r="F262" s="1" t="n">
        <v>73304.23</v>
      </c>
    </row>
    <row r="263" customFormat="false" ht="15" hidden="false" customHeight="true" outlineLevel="0" collapsed="false">
      <c r="A263" s="1" t="s">
        <v>281</v>
      </c>
      <c r="B263" s="1" t="s">
        <v>276</v>
      </c>
      <c r="C263" s="1" t="n">
        <v>2500</v>
      </c>
      <c r="D263" s="1" t="s">
        <v>289</v>
      </c>
      <c r="E263" s="1" t="s">
        <v>287</v>
      </c>
      <c r="F263" s="1" t="n">
        <v>540159.57</v>
      </c>
    </row>
    <row r="264" customFormat="false" ht="15" hidden="false" customHeight="true" outlineLevel="0" collapsed="false">
      <c r="A264" s="1" t="s">
        <v>281</v>
      </c>
      <c r="B264" s="1" t="s">
        <v>276</v>
      </c>
      <c r="C264" s="1" t="n">
        <v>3000</v>
      </c>
      <c r="D264" s="1" t="s">
        <v>290</v>
      </c>
      <c r="E264" s="1" t="s">
        <v>104</v>
      </c>
      <c r="F264" s="1" t="n">
        <v>450000</v>
      </c>
    </row>
    <row r="265" customFormat="false" ht="15" hidden="false" customHeight="true" outlineLevel="0" collapsed="false">
      <c r="A265" s="1" t="s">
        <v>281</v>
      </c>
      <c r="B265" s="1" t="s">
        <v>276</v>
      </c>
      <c r="C265" s="1" t="n">
        <v>3900</v>
      </c>
      <c r="D265" s="1" t="s">
        <v>291</v>
      </c>
      <c r="E265" s="1" t="s">
        <v>104</v>
      </c>
      <c r="F265" s="1" t="n">
        <v>2212752.48</v>
      </c>
    </row>
    <row r="266" customFormat="false" ht="15" hidden="false" customHeight="true" outlineLevel="0" collapsed="false">
      <c r="A266" s="1" t="s">
        <v>281</v>
      </c>
      <c r="B266" s="1" t="s">
        <v>277</v>
      </c>
      <c r="C266" s="1" t="n">
        <v>1000</v>
      </c>
      <c r="D266" s="1" t="s">
        <v>282</v>
      </c>
      <c r="E266" s="1" t="s">
        <v>283</v>
      </c>
      <c r="F266" s="1" t="n">
        <v>2357141.74</v>
      </c>
    </row>
    <row r="267" customFormat="false" ht="15" hidden="false" customHeight="true" outlineLevel="0" collapsed="false">
      <c r="A267" s="1" t="s">
        <v>281</v>
      </c>
      <c r="B267" s="1" t="s">
        <v>277</v>
      </c>
      <c r="C267" s="1" t="n">
        <v>1200</v>
      </c>
      <c r="D267" s="1" t="s">
        <v>284</v>
      </c>
      <c r="E267" s="1" t="s">
        <v>283</v>
      </c>
      <c r="F267" s="1" t="n">
        <v>226822.83</v>
      </c>
    </row>
    <row r="268" customFormat="false" ht="15" hidden="false" customHeight="true" outlineLevel="0" collapsed="false">
      <c r="A268" s="1" t="s">
        <v>281</v>
      </c>
      <c r="B268" s="1" t="s">
        <v>277</v>
      </c>
      <c r="C268" s="1" t="n">
        <v>1500</v>
      </c>
      <c r="D268" s="1" t="s">
        <v>285</v>
      </c>
      <c r="E268" s="1" t="s">
        <v>283</v>
      </c>
      <c r="F268" s="1" t="n">
        <v>1063218.55</v>
      </c>
    </row>
    <row r="269" customFormat="false" ht="15" hidden="false" customHeight="true" outlineLevel="0" collapsed="false">
      <c r="A269" s="1" t="s">
        <v>281</v>
      </c>
      <c r="B269" s="1" t="s">
        <v>277</v>
      </c>
      <c r="C269" s="1" t="n">
        <v>2000</v>
      </c>
      <c r="D269" s="1" t="s">
        <v>286</v>
      </c>
      <c r="E269" s="1" t="s">
        <v>287</v>
      </c>
      <c r="F269" s="1" t="n">
        <v>167583.44</v>
      </c>
    </row>
    <row r="270" customFormat="false" ht="15" hidden="false" customHeight="true" outlineLevel="0" collapsed="false">
      <c r="A270" s="1" t="s">
        <v>281</v>
      </c>
      <c r="B270" s="1" t="s">
        <v>277</v>
      </c>
      <c r="C270" s="1" t="n">
        <v>2100</v>
      </c>
      <c r="D270" s="1" t="s">
        <v>288</v>
      </c>
      <c r="E270" s="1" t="s">
        <v>287</v>
      </c>
      <c r="F270" s="1" t="n">
        <v>73644.29</v>
      </c>
    </row>
    <row r="271" customFormat="false" ht="15" hidden="false" customHeight="true" outlineLevel="0" collapsed="false">
      <c r="A271" s="1" t="s">
        <v>281</v>
      </c>
      <c r="B271" s="1" t="s">
        <v>277</v>
      </c>
      <c r="C271" s="1" t="n">
        <v>2500</v>
      </c>
      <c r="D271" s="1" t="s">
        <v>289</v>
      </c>
      <c r="E271" s="1" t="s">
        <v>287</v>
      </c>
      <c r="F271" s="1" t="n">
        <v>537998.93</v>
      </c>
    </row>
    <row r="272" customFormat="false" ht="15" hidden="false" customHeight="true" outlineLevel="0" collapsed="false">
      <c r="A272" s="1" t="s">
        <v>281</v>
      </c>
      <c r="B272" s="1" t="s">
        <v>277</v>
      </c>
      <c r="C272" s="1" t="n">
        <v>3000</v>
      </c>
      <c r="D272" s="1" t="s">
        <v>290</v>
      </c>
      <c r="E272" s="1" t="s">
        <v>104</v>
      </c>
      <c r="F272" s="1" t="n">
        <v>450000</v>
      </c>
    </row>
    <row r="273" customFormat="false" ht="15" hidden="false" customHeight="true" outlineLevel="0" collapsed="false">
      <c r="A273" s="1" t="s">
        <v>281</v>
      </c>
      <c r="B273" s="1" t="s">
        <v>277</v>
      </c>
      <c r="C273" s="1" t="n">
        <v>3900</v>
      </c>
      <c r="D273" s="1" t="s">
        <v>291</v>
      </c>
      <c r="E273" s="1" t="s">
        <v>104</v>
      </c>
      <c r="F273" s="1" t="n">
        <v>2417956.46</v>
      </c>
    </row>
    <row r="274" customFormat="false" ht="15" hidden="false" customHeight="true" outlineLevel="0" collapsed="false">
      <c r="A274" s="1" t="s">
        <v>281</v>
      </c>
      <c r="B274" s="1" t="s">
        <v>278</v>
      </c>
      <c r="C274" s="1" t="n">
        <v>1000</v>
      </c>
      <c r="D274" s="1" t="s">
        <v>282</v>
      </c>
      <c r="E274" s="1" t="s">
        <v>283</v>
      </c>
      <c r="F274" s="1" t="n">
        <v>2551186.84</v>
      </c>
    </row>
    <row r="275" customFormat="false" ht="15" hidden="false" customHeight="true" outlineLevel="0" collapsed="false">
      <c r="A275" s="1" t="s">
        <v>281</v>
      </c>
      <c r="B275" s="1" t="s">
        <v>278</v>
      </c>
      <c r="C275" s="1" t="n">
        <v>1200</v>
      </c>
      <c r="D275" s="1" t="s">
        <v>284</v>
      </c>
      <c r="E275" s="1" t="s">
        <v>283</v>
      </c>
      <c r="F275" s="1" t="n">
        <v>228765.78</v>
      </c>
    </row>
    <row r="276" customFormat="false" ht="15" hidden="false" customHeight="true" outlineLevel="0" collapsed="false">
      <c r="A276" s="1" t="s">
        <v>281</v>
      </c>
      <c r="B276" s="1" t="s">
        <v>278</v>
      </c>
      <c r="C276" s="1" t="n">
        <v>1500</v>
      </c>
      <c r="D276" s="1" t="s">
        <v>285</v>
      </c>
      <c r="E276" s="1" t="s">
        <v>283</v>
      </c>
      <c r="F276" s="1" t="n">
        <v>1064409.99</v>
      </c>
    </row>
    <row r="277" customFormat="false" ht="15" hidden="false" customHeight="true" outlineLevel="0" collapsed="false">
      <c r="A277" s="1" t="s">
        <v>281</v>
      </c>
      <c r="B277" s="1" t="s">
        <v>278</v>
      </c>
      <c r="C277" s="1" t="n">
        <v>2000</v>
      </c>
      <c r="D277" s="1" t="s">
        <v>286</v>
      </c>
      <c r="E277" s="1" t="s">
        <v>287</v>
      </c>
      <c r="F277" s="1" t="n">
        <v>166577.11</v>
      </c>
    </row>
    <row r="278" customFormat="false" ht="15" hidden="false" customHeight="true" outlineLevel="0" collapsed="false">
      <c r="A278" s="1" t="s">
        <v>281</v>
      </c>
      <c r="B278" s="1" t="s">
        <v>278</v>
      </c>
      <c r="C278" s="1" t="n">
        <v>2100</v>
      </c>
      <c r="D278" s="1" t="s">
        <v>288</v>
      </c>
      <c r="E278" s="1" t="s">
        <v>287</v>
      </c>
      <c r="F278" s="1" t="n">
        <v>74125.78</v>
      </c>
    </row>
    <row r="279" customFormat="false" ht="15" hidden="false" customHeight="true" outlineLevel="0" collapsed="false">
      <c r="A279" s="1" t="s">
        <v>281</v>
      </c>
      <c r="B279" s="1" t="s">
        <v>278</v>
      </c>
      <c r="C279" s="1" t="n">
        <v>2500</v>
      </c>
      <c r="D279" s="1" t="s">
        <v>289</v>
      </c>
      <c r="E279" s="1" t="s">
        <v>287</v>
      </c>
      <c r="F279" s="1" t="n">
        <v>535846.93</v>
      </c>
    </row>
    <row r="280" customFormat="false" ht="15" hidden="false" customHeight="true" outlineLevel="0" collapsed="false">
      <c r="A280" s="1" t="s">
        <v>281</v>
      </c>
      <c r="B280" s="1" t="s">
        <v>278</v>
      </c>
      <c r="C280" s="1" t="n">
        <v>3000</v>
      </c>
      <c r="D280" s="1" t="s">
        <v>290</v>
      </c>
      <c r="E280" s="1" t="s">
        <v>104</v>
      </c>
      <c r="F280" s="1" t="n">
        <v>450000</v>
      </c>
    </row>
    <row r="281" customFormat="false" ht="15" hidden="false" customHeight="true" outlineLevel="0" collapsed="false">
      <c r="A281" s="1" t="s">
        <v>281</v>
      </c>
      <c r="B281" s="1" t="s">
        <v>278</v>
      </c>
      <c r="C281" s="1" t="n">
        <v>3900</v>
      </c>
      <c r="D281" s="1" t="s">
        <v>291</v>
      </c>
      <c r="E281" s="1" t="s">
        <v>104</v>
      </c>
      <c r="F281" s="1" t="n">
        <v>2617812.79</v>
      </c>
    </row>
    <row r="282" customFormat="false" ht="15" hidden="false" customHeight="true" outlineLevel="0" collapsed="false">
      <c r="A282" s="1" t="s">
        <v>281</v>
      </c>
      <c r="B282" s="1" t="s">
        <v>279</v>
      </c>
      <c r="C282" s="1" t="n">
        <v>1000</v>
      </c>
      <c r="D282" s="1" t="s">
        <v>282</v>
      </c>
      <c r="E282" s="1" t="s">
        <v>283</v>
      </c>
      <c r="F282" s="1" t="n">
        <v>2762681.59</v>
      </c>
    </row>
    <row r="283" customFormat="false" ht="15" hidden="false" customHeight="true" outlineLevel="0" collapsed="false">
      <c r="A283" s="1" t="s">
        <v>281</v>
      </c>
      <c r="B283" s="1" t="s">
        <v>279</v>
      </c>
      <c r="C283" s="1" t="n">
        <v>1200</v>
      </c>
      <c r="D283" s="1" t="s">
        <v>284</v>
      </c>
      <c r="E283" s="1" t="s">
        <v>283</v>
      </c>
      <c r="F283" s="1" t="n">
        <v>229899.81</v>
      </c>
    </row>
    <row r="284" customFormat="false" ht="15" hidden="false" customHeight="true" outlineLevel="0" collapsed="false">
      <c r="A284" s="1" t="s">
        <v>281</v>
      </c>
      <c r="B284" s="1" t="s">
        <v>279</v>
      </c>
      <c r="C284" s="1" t="n">
        <v>1500</v>
      </c>
      <c r="D284" s="1" t="s">
        <v>285</v>
      </c>
      <c r="E284" s="1" t="s">
        <v>283</v>
      </c>
      <c r="F284" s="1" t="n">
        <v>1065797.7</v>
      </c>
    </row>
    <row r="285" customFormat="false" ht="15" hidden="false" customHeight="true" outlineLevel="0" collapsed="false">
      <c r="A285" s="1" t="s">
        <v>281</v>
      </c>
      <c r="B285" s="1" t="s">
        <v>279</v>
      </c>
      <c r="C285" s="1" t="n">
        <v>2000</v>
      </c>
      <c r="D285" s="1" t="s">
        <v>286</v>
      </c>
      <c r="E285" s="1" t="s">
        <v>287</v>
      </c>
      <c r="F285" s="1" t="n">
        <v>168883.91</v>
      </c>
    </row>
    <row r="286" customFormat="false" ht="15" hidden="false" customHeight="true" outlineLevel="0" collapsed="false">
      <c r="A286" s="1" t="s">
        <v>281</v>
      </c>
      <c r="B286" s="1" t="s">
        <v>279</v>
      </c>
      <c r="C286" s="1" t="n">
        <v>2100</v>
      </c>
      <c r="D286" s="1" t="s">
        <v>288</v>
      </c>
      <c r="E286" s="1" t="s">
        <v>287</v>
      </c>
      <c r="F286" s="1" t="n">
        <v>73798.55</v>
      </c>
    </row>
    <row r="287" customFormat="false" ht="15" hidden="false" customHeight="true" outlineLevel="0" collapsed="false">
      <c r="A287" s="1" t="s">
        <v>281</v>
      </c>
      <c r="B287" s="1" t="s">
        <v>279</v>
      </c>
      <c r="C287" s="1" t="n">
        <v>2500</v>
      </c>
      <c r="D287" s="1" t="s">
        <v>289</v>
      </c>
      <c r="E287" s="1" t="s">
        <v>287</v>
      </c>
      <c r="F287" s="1" t="n">
        <v>533703.55</v>
      </c>
    </row>
    <row r="288" customFormat="false" ht="15" hidden="false" customHeight="true" outlineLevel="0" collapsed="false">
      <c r="A288" s="1" t="s">
        <v>281</v>
      </c>
      <c r="B288" s="1" t="s">
        <v>279</v>
      </c>
      <c r="C288" s="1" t="n">
        <v>3000</v>
      </c>
      <c r="D288" s="1" t="s">
        <v>290</v>
      </c>
      <c r="E288" s="1" t="s">
        <v>104</v>
      </c>
      <c r="F288" s="1" t="n">
        <v>450000</v>
      </c>
    </row>
    <row r="289" customFormat="false" ht="15" hidden="false" customHeight="true" outlineLevel="0" collapsed="false">
      <c r="A289" s="1" t="s">
        <v>281</v>
      </c>
      <c r="B289" s="1" t="s">
        <v>279</v>
      </c>
      <c r="C289" s="1" t="n">
        <v>3900</v>
      </c>
      <c r="D289" s="1" t="s">
        <v>291</v>
      </c>
      <c r="E289" s="1" t="s">
        <v>104</v>
      </c>
      <c r="F289" s="1" t="n">
        <v>2831993.09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6" min="5" style="1" width="14"/>
  </cols>
  <sheetData>
    <row r="1" customFormat="false" ht="15" hidden="false" customHeight="true" outlineLevel="0" collapsed="false">
      <c r="A1" s="31" t="s">
        <v>246</v>
      </c>
      <c r="B1" s="31" t="s">
        <v>7</v>
      </c>
      <c r="C1" s="31" t="s">
        <v>247</v>
      </c>
      <c r="D1" s="31" t="s">
        <v>248</v>
      </c>
      <c r="E1" s="31" t="s">
        <v>249</v>
      </c>
      <c r="F1" s="31" t="s">
        <v>292</v>
      </c>
    </row>
    <row r="2" customFormat="false" ht="15" hidden="false" customHeight="true" outlineLevel="0" collapsed="false">
      <c r="A2" s="1" t="s">
        <v>65</v>
      </c>
      <c r="B2" s="1" t="s">
        <v>252</v>
      </c>
      <c r="C2" s="1" t="n">
        <v>4000</v>
      </c>
      <c r="D2" s="1" t="s">
        <v>253</v>
      </c>
      <c r="E2" s="1" t="s">
        <v>52</v>
      </c>
      <c r="F2" s="1" t="n">
        <v>509235.01</v>
      </c>
    </row>
    <row r="3" customFormat="false" ht="15" hidden="false" customHeight="true" outlineLevel="0" collapsed="false">
      <c r="A3" s="1" t="s">
        <v>65</v>
      </c>
      <c r="B3" s="1" t="s">
        <v>270</v>
      </c>
      <c r="C3" s="1" t="n">
        <v>4000</v>
      </c>
      <c r="D3" s="1" t="s">
        <v>253</v>
      </c>
      <c r="E3" s="1" t="s">
        <v>52</v>
      </c>
      <c r="F3" s="1" t="n">
        <v>519450.01</v>
      </c>
    </row>
    <row r="4" customFormat="false" ht="15" hidden="false" customHeight="true" outlineLevel="0" collapsed="false">
      <c r="A4" s="1" t="s">
        <v>65</v>
      </c>
      <c r="B4" s="1" t="s">
        <v>271</v>
      </c>
      <c r="C4" s="1" t="n">
        <v>4000</v>
      </c>
      <c r="D4" s="1" t="s">
        <v>253</v>
      </c>
      <c r="E4" s="1" t="s">
        <v>52</v>
      </c>
      <c r="F4" s="1" t="n">
        <v>502903.7</v>
      </c>
    </row>
    <row r="5" customFormat="false" ht="15" hidden="false" customHeight="true" outlineLevel="0" collapsed="false">
      <c r="A5" s="1" t="s">
        <v>65</v>
      </c>
      <c r="B5" s="1" t="s">
        <v>272</v>
      </c>
      <c r="C5" s="1" t="n">
        <v>4000</v>
      </c>
      <c r="D5" s="1" t="s">
        <v>253</v>
      </c>
      <c r="E5" s="1" t="s">
        <v>52</v>
      </c>
      <c r="F5" s="1" t="n">
        <v>508049.25</v>
      </c>
    </row>
    <row r="6" customFormat="false" ht="15" hidden="false" customHeight="true" outlineLevel="0" collapsed="false">
      <c r="A6" s="1" t="s">
        <v>65</v>
      </c>
      <c r="B6" s="1" t="s">
        <v>273</v>
      </c>
      <c r="C6" s="1" t="n">
        <v>4000</v>
      </c>
      <c r="D6" s="1" t="s">
        <v>253</v>
      </c>
      <c r="E6" s="1" t="s">
        <v>52</v>
      </c>
      <c r="F6" s="1" t="n">
        <v>510956.65</v>
      </c>
    </row>
    <row r="7" customFormat="false" ht="15" hidden="false" customHeight="true" outlineLevel="0" collapsed="false">
      <c r="A7" s="1" t="s">
        <v>65</v>
      </c>
      <c r="B7" s="1" t="s">
        <v>129</v>
      </c>
      <c r="C7" s="1" t="n">
        <v>4000</v>
      </c>
      <c r="D7" s="1" t="s">
        <v>253</v>
      </c>
      <c r="E7" s="1" t="s">
        <v>52</v>
      </c>
      <c r="F7" s="1" t="n">
        <v>499955.7</v>
      </c>
    </row>
    <row r="8" customFormat="false" ht="15" hidden="false" customHeight="true" outlineLevel="0" collapsed="false">
      <c r="A8" s="1" t="s">
        <v>65</v>
      </c>
      <c r="B8" s="1" t="s">
        <v>274</v>
      </c>
      <c r="C8" s="1" t="n">
        <v>4000</v>
      </c>
      <c r="D8" s="1" t="s">
        <v>253</v>
      </c>
      <c r="E8" s="1" t="s">
        <v>52</v>
      </c>
      <c r="F8" s="1" t="n">
        <v>506258.85</v>
      </c>
    </row>
    <row r="9" customFormat="false" ht="15" hidden="false" customHeight="true" outlineLevel="0" collapsed="false">
      <c r="A9" s="1" t="s">
        <v>65</v>
      </c>
      <c r="B9" s="1" t="s">
        <v>275</v>
      </c>
      <c r="C9" s="1" t="n">
        <v>4000</v>
      </c>
      <c r="D9" s="1" t="s">
        <v>253</v>
      </c>
      <c r="E9" s="1" t="s">
        <v>52</v>
      </c>
      <c r="F9" s="1" t="n">
        <v>504126.93</v>
      </c>
    </row>
    <row r="10" customFormat="false" ht="15" hidden="false" customHeight="true" outlineLevel="0" collapsed="false">
      <c r="A10" s="1" t="s">
        <v>65</v>
      </c>
      <c r="B10" s="1" t="s">
        <v>276</v>
      </c>
      <c r="C10" s="1" t="n">
        <v>4000</v>
      </c>
      <c r="D10" s="1" t="s">
        <v>253</v>
      </c>
      <c r="E10" s="1" t="s">
        <v>52</v>
      </c>
      <c r="F10" s="1" t="n">
        <v>504984.58</v>
      </c>
    </row>
    <row r="11" customFormat="false" ht="15" hidden="false" customHeight="true" outlineLevel="0" collapsed="false">
      <c r="A11" s="1" t="s">
        <v>65</v>
      </c>
      <c r="B11" s="1" t="s">
        <v>277</v>
      </c>
      <c r="C11" s="1" t="n">
        <v>4000</v>
      </c>
      <c r="D11" s="1" t="s">
        <v>253</v>
      </c>
      <c r="E11" s="1" t="s">
        <v>52</v>
      </c>
      <c r="F11" s="1" t="n">
        <v>496208.06</v>
      </c>
    </row>
    <row r="12" customFormat="false" ht="15" hidden="false" customHeight="true" outlineLevel="0" collapsed="false">
      <c r="A12" s="1" t="s">
        <v>65</v>
      </c>
      <c r="B12" s="1" t="s">
        <v>278</v>
      </c>
      <c r="C12" s="1" t="n">
        <v>4000</v>
      </c>
      <c r="D12" s="1" t="s">
        <v>253</v>
      </c>
      <c r="E12" s="1" t="s">
        <v>52</v>
      </c>
      <c r="F12" s="1" t="n">
        <v>504247.06</v>
      </c>
    </row>
    <row r="13" customFormat="false" ht="15" hidden="false" customHeight="true" outlineLevel="0" collapsed="false">
      <c r="A13" s="1" t="s">
        <v>65</v>
      </c>
      <c r="B13" s="1" t="s">
        <v>279</v>
      </c>
      <c r="C13" s="1" t="n">
        <v>4000</v>
      </c>
      <c r="D13" s="1" t="s">
        <v>253</v>
      </c>
      <c r="E13" s="1" t="s">
        <v>52</v>
      </c>
      <c r="F13" s="1" t="n">
        <v>509019.82</v>
      </c>
    </row>
    <row r="14" customFormat="false" ht="15" hidden="false" customHeight="true" outlineLevel="0" collapsed="false">
      <c r="A14" s="1" t="s">
        <v>65</v>
      </c>
      <c r="B14" s="1" t="s">
        <v>252</v>
      </c>
      <c r="C14" s="1" t="n">
        <v>4010</v>
      </c>
      <c r="D14" s="1" t="s">
        <v>255</v>
      </c>
      <c r="E14" s="1" t="s">
        <v>52</v>
      </c>
      <c r="F14" s="1" t="n">
        <v>259313.76</v>
      </c>
    </row>
    <row r="15" customFormat="false" ht="15" hidden="false" customHeight="true" outlineLevel="0" collapsed="false">
      <c r="A15" s="1" t="s">
        <v>65</v>
      </c>
      <c r="B15" s="1" t="s">
        <v>270</v>
      </c>
      <c r="C15" s="1" t="n">
        <v>4010</v>
      </c>
      <c r="D15" s="1" t="s">
        <v>255</v>
      </c>
      <c r="E15" s="1" t="s">
        <v>52</v>
      </c>
      <c r="F15" s="1" t="n">
        <v>256834.72</v>
      </c>
    </row>
    <row r="16" customFormat="false" ht="15" hidden="false" customHeight="true" outlineLevel="0" collapsed="false">
      <c r="A16" s="1" t="s">
        <v>65</v>
      </c>
      <c r="B16" s="1" t="s">
        <v>271</v>
      </c>
      <c r="C16" s="1" t="n">
        <v>4010</v>
      </c>
      <c r="D16" s="1" t="s">
        <v>255</v>
      </c>
      <c r="E16" s="1" t="s">
        <v>52</v>
      </c>
      <c r="F16" s="1" t="n">
        <v>262852.04</v>
      </c>
    </row>
    <row r="17" customFormat="false" ht="15" hidden="false" customHeight="true" outlineLevel="0" collapsed="false">
      <c r="A17" s="1" t="s">
        <v>65</v>
      </c>
      <c r="B17" s="1" t="s">
        <v>272</v>
      </c>
      <c r="C17" s="1" t="n">
        <v>4010</v>
      </c>
      <c r="D17" s="1" t="s">
        <v>255</v>
      </c>
      <c r="E17" s="1" t="s">
        <v>52</v>
      </c>
      <c r="F17" s="1" t="n">
        <v>248132.57</v>
      </c>
    </row>
    <row r="18" customFormat="false" ht="15" hidden="false" customHeight="true" outlineLevel="0" collapsed="false">
      <c r="A18" s="1" t="s">
        <v>65</v>
      </c>
      <c r="B18" s="1" t="s">
        <v>273</v>
      </c>
      <c r="C18" s="1" t="n">
        <v>4010</v>
      </c>
      <c r="D18" s="1" t="s">
        <v>255</v>
      </c>
      <c r="E18" s="1" t="s">
        <v>52</v>
      </c>
      <c r="F18" s="1" t="n">
        <v>256396.5</v>
      </c>
    </row>
    <row r="19" customFormat="false" ht="15" hidden="false" customHeight="true" outlineLevel="0" collapsed="false">
      <c r="A19" s="1" t="s">
        <v>65</v>
      </c>
      <c r="B19" s="1" t="s">
        <v>129</v>
      </c>
      <c r="C19" s="1" t="n">
        <v>4010</v>
      </c>
      <c r="D19" s="1" t="s">
        <v>255</v>
      </c>
      <c r="E19" s="1" t="s">
        <v>52</v>
      </c>
      <c r="F19" s="1" t="n">
        <v>252924.04</v>
      </c>
    </row>
    <row r="20" customFormat="false" ht="15" hidden="false" customHeight="true" outlineLevel="0" collapsed="false">
      <c r="A20" s="1" t="s">
        <v>65</v>
      </c>
      <c r="B20" s="1" t="s">
        <v>274</v>
      </c>
      <c r="C20" s="1" t="n">
        <v>4010</v>
      </c>
      <c r="D20" s="1" t="s">
        <v>255</v>
      </c>
      <c r="E20" s="1" t="s">
        <v>52</v>
      </c>
      <c r="F20" s="1" t="n">
        <v>263036.61</v>
      </c>
    </row>
    <row r="21" customFormat="false" ht="15" hidden="false" customHeight="true" outlineLevel="0" collapsed="false">
      <c r="A21" s="1" t="s">
        <v>65</v>
      </c>
      <c r="B21" s="1" t="s">
        <v>275</v>
      </c>
      <c r="C21" s="1" t="n">
        <v>4010</v>
      </c>
      <c r="D21" s="1" t="s">
        <v>255</v>
      </c>
      <c r="E21" s="1" t="s">
        <v>52</v>
      </c>
      <c r="F21" s="1" t="n">
        <v>247926.18</v>
      </c>
    </row>
    <row r="22" customFormat="false" ht="15" hidden="false" customHeight="true" outlineLevel="0" collapsed="false">
      <c r="A22" s="1" t="s">
        <v>65</v>
      </c>
      <c r="B22" s="1" t="s">
        <v>276</v>
      </c>
      <c r="C22" s="1" t="n">
        <v>4010</v>
      </c>
      <c r="D22" s="1" t="s">
        <v>255</v>
      </c>
      <c r="E22" s="1" t="s">
        <v>52</v>
      </c>
      <c r="F22" s="1" t="n">
        <v>247767.8</v>
      </c>
    </row>
    <row r="23" customFormat="false" ht="15" hidden="false" customHeight="true" outlineLevel="0" collapsed="false">
      <c r="A23" s="1" t="s">
        <v>65</v>
      </c>
      <c r="B23" s="1" t="s">
        <v>277</v>
      </c>
      <c r="C23" s="1" t="n">
        <v>4010</v>
      </c>
      <c r="D23" s="1" t="s">
        <v>255</v>
      </c>
      <c r="E23" s="1" t="s">
        <v>52</v>
      </c>
      <c r="F23" s="1" t="n">
        <v>248979.06</v>
      </c>
    </row>
    <row r="24" customFormat="false" ht="15" hidden="false" customHeight="true" outlineLevel="0" collapsed="false">
      <c r="A24" s="1" t="s">
        <v>65</v>
      </c>
      <c r="B24" s="1" t="s">
        <v>278</v>
      </c>
      <c r="C24" s="1" t="n">
        <v>4010</v>
      </c>
      <c r="D24" s="1" t="s">
        <v>255</v>
      </c>
      <c r="E24" s="1" t="s">
        <v>52</v>
      </c>
      <c r="F24" s="1" t="n">
        <v>241295.57</v>
      </c>
    </row>
    <row r="25" customFormat="false" ht="15" hidden="false" customHeight="true" outlineLevel="0" collapsed="false">
      <c r="A25" s="1" t="s">
        <v>65</v>
      </c>
      <c r="B25" s="1" t="s">
        <v>279</v>
      </c>
      <c r="C25" s="1" t="n">
        <v>4010</v>
      </c>
      <c r="D25" s="1" t="s">
        <v>255</v>
      </c>
      <c r="E25" s="1" t="s">
        <v>52</v>
      </c>
      <c r="F25" s="1" t="n">
        <v>249350.19</v>
      </c>
    </row>
    <row r="26" customFormat="false" ht="15" hidden="false" customHeight="true" outlineLevel="0" collapsed="false">
      <c r="A26" s="1" t="s">
        <v>65</v>
      </c>
      <c r="B26" s="1" t="s">
        <v>252</v>
      </c>
      <c r="C26" s="1" t="n">
        <v>5000</v>
      </c>
      <c r="D26" s="1" t="s">
        <v>256</v>
      </c>
      <c r="E26" s="1" t="s">
        <v>140</v>
      </c>
      <c r="F26" s="1" t="n">
        <v>165449.31</v>
      </c>
    </row>
    <row r="27" customFormat="false" ht="15" hidden="false" customHeight="true" outlineLevel="0" collapsed="false">
      <c r="A27" s="1" t="s">
        <v>65</v>
      </c>
      <c r="B27" s="1" t="s">
        <v>270</v>
      </c>
      <c r="C27" s="1" t="n">
        <v>5000</v>
      </c>
      <c r="D27" s="1" t="s">
        <v>256</v>
      </c>
      <c r="E27" s="1" t="s">
        <v>140</v>
      </c>
      <c r="F27" s="1" t="n">
        <v>168505.32</v>
      </c>
    </row>
    <row r="28" customFormat="false" ht="15" hidden="false" customHeight="true" outlineLevel="0" collapsed="false">
      <c r="A28" s="1" t="s">
        <v>65</v>
      </c>
      <c r="B28" s="1" t="s">
        <v>271</v>
      </c>
      <c r="C28" s="1" t="n">
        <v>5000</v>
      </c>
      <c r="D28" s="1" t="s">
        <v>256</v>
      </c>
      <c r="E28" s="1" t="s">
        <v>140</v>
      </c>
      <c r="F28" s="1" t="n">
        <v>169148.3</v>
      </c>
    </row>
    <row r="29" customFormat="false" ht="15" hidden="false" customHeight="true" outlineLevel="0" collapsed="false">
      <c r="A29" s="1" t="s">
        <v>65</v>
      </c>
      <c r="B29" s="1" t="s">
        <v>272</v>
      </c>
      <c r="C29" s="1" t="n">
        <v>5000</v>
      </c>
      <c r="D29" s="1" t="s">
        <v>256</v>
      </c>
      <c r="E29" s="1" t="s">
        <v>140</v>
      </c>
      <c r="F29" s="1" t="n">
        <v>174303.93</v>
      </c>
    </row>
    <row r="30" customFormat="false" ht="15" hidden="false" customHeight="true" outlineLevel="0" collapsed="false">
      <c r="A30" s="1" t="s">
        <v>65</v>
      </c>
      <c r="B30" s="1" t="s">
        <v>273</v>
      </c>
      <c r="C30" s="1" t="n">
        <v>5000</v>
      </c>
      <c r="D30" s="1" t="s">
        <v>256</v>
      </c>
      <c r="E30" s="1" t="s">
        <v>140</v>
      </c>
      <c r="F30" s="1" t="n">
        <v>171193.42</v>
      </c>
    </row>
    <row r="31" customFormat="false" ht="15" hidden="false" customHeight="true" outlineLevel="0" collapsed="false">
      <c r="A31" s="1" t="s">
        <v>65</v>
      </c>
      <c r="B31" s="1" t="s">
        <v>129</v>
      </c>
      <c r="C31" s="1" t="n">
        <v>5000</v>
      </c>
      <c r="D31" s="1" t="s">
        <v>256</v>
      </c>
      <c r="E31" s="1" t="s">
        <v>140</v>
      </c>
      <c r="F31" s="1" t="n">
        <v>166061.6</v>
      </c>
    </row>
    <row r="32" customFormat="false" ht="15" hidden="false" customHeight="true" outlineLevel="0" collapsed="false">
      <c r="A32" s="1" t="s">
        <v>65</v>
      </c>
      <c r="B32" s="1" t="s">
        <v>274</v>
      </c>
      <c r="C32" s="1" t="n">
        <v>5000</v>
      </c>
      <c r="D32" s="1" t="s">
        <v>256</v>
      </c>
      <c r="E32" s="1" t="s">
        <v>140</v>
      </c>
      <c r="F32" s="1" t="n">
        <v>164981.33</v>
      </c>
    </row>
    <row r="33" customFormat="false" ht="15" hidden="false" customHeight="true" outlineLevel="0" collapsed="false">
      <c r="A33" s="1" t="s">
        <v>65</v>
      </c>
      <c r="B33" s="1" t="s">
        <v>275</v>
      </c>
      <c r="C33" s="1" t="n">
        <v>5000</v>
      </c>
      <c r="D33" s="1" t="s">
        <v>256</v>
      </c>
      <c r="E33" s="1" t="s">
        <v>140</v>
      </c>
      <c r="F33" s="1" t="n">
        <v>169652.85</v>
      </c>
    </row>
    <row r="34" customFormat="false" ht="15" hidden="false" customHeight="true" outlineLevel="0" collapsed="false">
      <c r="A34" s="1" t="s">
        <v>65</v>
      </c>
      <c r="B34" s="1" t="s">
        <v>276</v>
      </c>
      <c r="C34" s="1" t="n">
        <v>5000</v>
      </c>
      <c r="D34" s="1" t="s">
        <v>256</v>
      </c>
      <c r="E34" s="1" t="s">
        <v>140</v>
      </c>
      <c r="F34" s="1" t="n">
        <v>163564.02</v>
      </c>
    </row>
    <row r="35" customFormat="false" ht="15" hidden="false" customHeight="true" outlineLevel="0" collapsed="false">
      <c r="A35" s="1" t="s">
        <v>65</v>
      </c>
      <c r="B35" s="1" t="s">
        <v>277</v>
      </c>
      <c r="C35" s="1" t="n">
        <v>5000</v>
      </c>
      <c r="D35" s="1" t="s">
        <v>256</v>
      </c>
      <c r="E35" s="1" t="s">
        <v>140</v>
      </c>
      <c r="F35" s="1" t="n">
        <v>174153.7</v>
      </c>
    </row>
    <row r="36" customFormat="false" ht="15" hidden="false" customHeight="true" outlineLevel="0" collapsed="false">
      <c r="A36" s="1" t="s">
        <v>65</v>
      </c>
      <c r="B36" s="1" t="s">
        <v>278</v>
      </c>
      <c r="C36" s="1" t="n">
        <v>5000</v>
      </c>
      <c r="D36" s="1" t="s">
        <v>256</v>
      </c>
      <c r="E36" s="1" t="s">
        <v>140</v>
      </c>
      <c r="F36" s="1" t="n">
        <v>171962.92</v>
      </c>
    </row>
    <row r="37" customFormat="false" ht="15" hidden="false" customHeight="true" outlineLevel="0" collapsed="false">
      <c r="A37" s="1" t="s">
        <v>65</v>
      </c>
      <c r="B37" s="1" t="s">
        <v>279</v>
      </c>
      <c r="C37" s="1" t="n">
        <v>5000</v>
      </c>
      <c r="D37" s="1" t="s">
        <v>256</v>
      </c>
      <c r="E37" s="1" t="s">
        <v>140</v>
      </c>
      <c r="F37" s="1" t="n">
        <v>166423.57</v>
      </c>
    </row>
    <row r="38" customFormat="false" ht="15" hidden="false" customHeight="true" outlineLevel="0" collapsed="false">
      <c r="A38" s="1" t="s">
        <v>65</v>
      </c>
      <c r="B38" s="1" t="s">
        <v>252</v>
      </c>
      <c r="C38" s="1" t="n">
        <v>5010</v>
      </c>
      <c r="D38" s="1" t="s">
        <v>258</v>
      </c>
      <c r="E38" s="1" t="s">
        <v>140</v>
      </c>
      <c r="F38" s="1" t="n">
        <v>162243.87</v>
      </c>
    </row>
    <row r="39" customFormat="false" ht="15" hidden="false" customHeight="true" outlineLevel="0" collapsed="false">
      <c r="A39" s="1" t="s">
        <v>65</v>
      </c>
      <c r="B39" s="1" t="s">
        <v>270</v>
      </c>
      <c r="C39" s="1" t="n">
        <v>5010</v>
      </c>
      <c r="D39" s="1" t="s">
        <v>258</v>
      </c>
      <c r="E39" s="1" t="s">
        <v>140</v>
      </c>
      <c r="F39" s="1" t="n">
        <v>172549.01</v>
      </c>
    </row>
    <row r="40" customFormat="false" ht="15" hidden="false" customHeight="true" outlineLevel="0" collapsed="false">
      <c r="A40" s="1" t="s">
        <v>65</v>
      </c>
      <c r="B40" s="1" t="s">
        <v>271</v>
      </c>
      <c r="C40" s="1" t="n">
        <v>5010</v>
      </c>
      <c r="D40" s="1" t="s">
        <v>258</v>
      </c>
      <c r="E40" s="1" t="s">
        <v>140</v>
      </c>
      <c r="F40" s="1" t="n">
        <v>167615.15</v>
      </c>
    </row>
    <row r="41" customFormat="false" ht="15" hidden="false" customHeight="true" outlineLevel="0" collapsed="false">
      <c r="A41" s="1" t="s">
        <v>65</v>
      </c>
      <c r="B41" s="1" t="s">
        <v>272</v>
      </c>
      <c r="C41" s="1" t="n">
        <v>5010</v>
      </c>
      <c r="D41" s="1" t="s">
        <v>258</v>
      </c>
      <c r="E41" s="1" t="s">
        <v>140</v>
      </c>
      <c r="F41" s="1" t="n">
        <v>172159.06</v>
      </c>
    </row>
    <row r="42" customFormat="false" ht="15" hidden="false" customHeight="true" outlineLevel="0" collapsed="false">
      <c r="A42" s="1" t="s">
        <v>65</v>
      </c>
      <c r="B42" s="1" t="s">
        <v>273</v>
      </c>
      <c r="C42" s="1" t="n">
        <v>5010</v>
      </c>
      <c r="D42" s="1" t="s">
        <v>258</v>
      </c>
      <c r="E42" s="1" t="s">
        <v>140</v>
      </c>
      <c r="F42" s="1" t="n">
        <v>162642.72</v>
      </c>
    </row>
    <row r="43" customFormat="false" ht="15" hidden="false" customHeight="true" outlineLevel="0" collapsed="false">
      <c r="A43" s="1" t="s">
        <v>65</v>
      </c>
      <c r="B43" s="1" t="s">
        <v>129</v>
      </c>
      <c r="C43" s="1" t="n">
        <v>5010</v>
      </c>
      <c r="D43" s="1" t="s">
        <v>258</v>
      </c>
      <c r="E43" s="1" t="s">
        <v>140</v>
      </c>
      <c r="F43" s="1" t="n">
        <v>165986.1</v>
      </c>
    </row>
    <row r="44" customFormat="false" ht="15" hidden="false" customHeight="true" outlineLevel="0" collapsed="false">
      <c r="A44" s="1" t="s">
        <v>65</v>
      </c>
      <c r="B44" s="1" t="s">
        <v>274</v>
      </c>
      <c r="C44" s="1" t="n">
        <v>5010</v>
      </c>
      <c r="D44" s="1" t="s">
        <v>258</v>
      </c>
      <c r="E44" s="1" t="s">
        <v>140</v>
      </c>
      <c r="F44" s="1" t="n">
        <v>168017.62</v>
      </c>
    </row>
    <row r="45" customFormat="false" ht="15" hidden="false" customHeight="true" outlineLevel="0" collapsed="false">
      <c r="A45" s="1" t="s">
        <v>65</v>
      </c>
      <c r="B45" s="1" t="s">
        <v>275</v>
      </c>
      <c r="C45" s="1" t="n">
        <v>5010</v>
      </c>
      <c r="D45" s="1" t="s">
        <v>258</v>
      </c>
      <c r="E45" s="1" t="s">
        <v>140</v>
      </c>
      <c r="F45" s="1" t="n">
        <v>168157.85</v>
      </c>
    </row>
    <row r="46" customFormat="false" ht="15" hidden="false" customHeight="true" outlineLevel="0" collapsed="false">
      <c r="A46" s="1" t="s">
        <v>65</v>
      </c>
      <c r="B46" s="1" t="s">
        <v>276</v>
      </c>
      <c r="C46" s="1" t="n">
        <v>5010</v>
      </c>
      <c r="D46" s="1" t="s">
        <v>258</v>
      </c>
      <c r="E46" s="1" t="s">
        <v>140</v>
      </c>
      <c r="F46" s="1" t="n">
        <v>166487.78</v>
      </c>
    </row>
    <row r="47" customFormat="false" ht="15" hidden="false" customHeight="true" outlineLevel="0" collapsed="false">
      <c r="A47" s="1" t="s">
        <v>65</v>
      </c>
      <c r="B47" s="1" t="s">
        <v>277</v>
      </c>
      <c r="C47" s="1" t="n">
        <v>5010</v>
      </c>
      <c r="D47" s="1" t="s">
        <v>258</v>
      </c>
      <c r="E47" s="1" t="s">
        <v>140</v>
      </c>
      <c r="F47" s="1" t="n">
        <v>170092.78</v>
      </c>
    </row>
    <row r="48" customFormat="false" ht="15" hidden="false" customHeight="true" outlineLevel="0" collapsed="false">
      <c r="A48" s="1" t="s">
        <v>65</v>
      </c>
      <c r="B48" s="1" t="s">
        <v>278</v>
      </c>
      <c r="C48" s="1" t="n">
        <v>5010</v>
      </c>
      <c r="D48" s="1" t="s">
        <v>258</v>
      </c>
      <c r="E48" s="1" t="s">
        <v>140</v>
      </c>
      <c r="F48" s="1" t="n">
        <v>164412.8</v>
      </c>
    </row>
    <row r="49" customFormat="false" ht="15" hidden="false" customHeight="true" outlineLevel="0" collapsed="false">
      <c r="A49" s="1" t="s">
        <v>65</v>
      </c>
      <c r="B49" s="1" t="s">
        <v>279</v>
      </c>
      <c r="C49" s="1" t="n">
        <v>5010</v>
      </c>
      <c r="D49" s="1" t="s">
        <v>258</v>
      </c>
      <c r="E49" s="1" t="s">
        <v>140</v>
      </c>
      <c r="F49" s="1" t="n">
        <v>167521.6</v>
      </c>
    </row>
    <row r="50" customFormat="false" ht="15" hidden="false" customHeight="true" outlineLevel="0" collapsed="false">
      <c r="A50" s="1" t="s">
        <v>65</v>
      </c>
      <c r="B50" s="1" t="s">
        <v>252</v>
      </c>
      <c r="C50" s="1" t="n">
        <v>6000</v>
      </c>
      <c r="D50" s="1" t="s">
        <v>259</v>
      </c>
      <c r="E50" s="1" t="s">
        <v>143</v>
      </c>
      <c r="F50" s="1" t="n">
        <v>35284.69</v>
      </c>
    </row>
    <row r="51" customFormat="false" ht="15" hidden="false" customHeight="true" outlineLevel="0" collapsed="false">
      <c r="A51" s="1" t="s">
        <v>65</v>
      </c>
      <c r="B51" s="1" t="s">
        <v>270</v>
      </c>
      <c r="C51" s="1" t="n">
        <v>6000</v>
      </c>
      <c r="D51" s="1" t="s">
        <v>259</v>
      </c>
      <c r="E51" s="1" t="s">
        <v>143</v>
      </c>
      <c r="F51" s="1" t="n">
        <v>35562.16</v>
      </c>
    </row>
    <row r="52" customFormat="false" ht="15" hidden="false" customHeight="true" outlineLevel="0" collapsed="false">
      <c r="A52" s="1" t="s">
        <v>65</v>
      </c>
      <c r="B52" s="1" t="s">
        <v>271</v>
      </c>
      <c r="C52" s="1" t="n">
        <v>6000</v>
      </c>
      <c r="D52" s="1" t="s">
        <v>259</v>
      </c>
      <c r="E52" s="1" t="s">
        <v>143</v>
      </c>
      <c r="F52" s="1" t="n">
        <v>35700.98</v>
      </c>
    </row>
    <row r="53" customFormat="false" ht="15" hidden="false" customHeight="true" outlineLevel="0" collapsed="false">
      <c r="A53" s="1" t="s">
        <v>65</v>
      </c>
      <c r="B53" s="1" t="s">
        <v>272</v>
      </c>
      <c r="C53" s="1" t="n">
        <v>6000</v>
      </c>
      <c r="D53" s="1" t="s">
        <v>259</v>
      </c>
      <c r="E53" s="1" t="s">
        <v>143</v>
      </c>
      <c r="F53" s="1" t="n">
        <v>34408.25</v>
      </c>
    </row>
    <row r="54" customFormat="false" ht="15" hidden="false" customHeight="true" outlineLevel="0" collapsed="false">
      <c r="A54" s="1" t="s">
        <v>65</v>
      </c>
      <c r="B54" s="1" t="s">
        <v>273</v>
      </c>
      <c r="C54" s="1" t="n">
        <v>6000</v>
      </c>
      <c r="D54" s="1" t="s">
        <v>259</v>
      </c>
      <c r="E54" s="1" t="s">
        <v>143</v>
      </c>
      <c r="F54" s="1" t="n">
        <v>34119.98</v>
      </c>
    </row>
    <row r="55" customFormat="false" ht="15" hidden="false" customHeight="true" outlineLevel="0" collapsed="false">
      <c r="A55" s="1" t="s">
        <v>65</v>
      </c>
      <c r="B55" s="1" t="s">
        <v>129</v>
      </c>
      <c r="C55" s="1" t="n">
        <v>6000</v>
      </c>
      <c r="D55" s="1" t="s">
        <v>259</v>
      </c>
      <c r="E55" s="1" t="s">
        <v>143</v>
      </c>
      <c r="F55" s="1" t="n">
        <v>36099.48</v>
      </c>
    </row>
    <row r="56" customFormat="false" ht="15" hidden="false" customHeight="true" outlineLevel="0" collapsed="false">
      <c r="A56" s="1" t="s">
        <v>65</v>
      </c>
      <c r="B56" s="1" t="s">
        <v>274</v>
      </c>
      <c r="C56" s="1" t="n">
        <v>6000</v>
      </c>
      <c r="D56" s="1" t="s">
        <v>259</v>
      </c>
      <c r="E56" s="1" t="s">
        <v>143</v>
      </c>
      <c r="F56" s="1" t="n">
        <v>35433.95</v>
      </c>
    </row>
    <row r="57" customFormat="false" ht="15" hidden="false" customHeight="true" outlineLevel="0" collapsed="false">
      <c r="A57" s="1" t="s">
        <v>65</v>
      </c>
      <c r="B57" s="1" t="s">
        <v>275</v>
      </c>
      <c r="C57" s="1" t="n">
        <v>6000</v>
      </c>
      <c r="D57" s="1" t="s">
        <v>259</v>
      </c>
      <c r="E57" s="1" t="s">
        <v>143</v>
      </c>
      <c r="F57" s="1" t="n">
        <v>34673.07</v>
      </c>
    </row>
    <row r="58" customFormat="false" ht="15" hidden="false" customHeight="true" outlineLevel="0" collapsed="false">
      <c r="A58" s="1" t="s">
        <v>65</v>
      </c>
      <c r="B58" s="1" t="s">
        <v>276</v>
      </c>
      <c r="C58" s="1" t="n">
        <v>6000</v>
      </c>
      <c r="D58" s="1" t="s">
        <v>259</v>
      </c>
      <c r="E58" s="1" t="s">
        <v>143</v>
      </c>
      <c r="F58" s="1" t="n">
        <v>36292.01</v>
      </c>
    </row>
    <row r="59" customFormat="false" ht="15" hidden="false" customHeight="true" outlineLevel="0" collapsed="false">
      <c r="A59" s="1" t="s">
        <v>65</v>
      </c>
      <c r="B59" s="1" t="s">
        <v>277</v>
      </c>
      <c r="C59" s="1" t="n">
        <v>6000</v>
      </c>
      <c r="D59" s="1" t="s">
        <v>259</v>
      </c>
      <c r="E59" s="1" t="s">
        <v>143</v>
      </c>
      <c r="F59" s="1" t="n">
        <v>35281.43</v>
      </c>
    </row>
    <row r="60" customFormat="false" ht="15" hidden="false" customHeight="true" outlineLevel="0" collapsed="false">
      <c r="A60" s="1" t="s">
        <v>65</v>
      </c>
      <c r="B60" s="1" t="s">
        <v>278</v>
      </c>
      <c r="C60" s="1" t="n">
        <v>6000</v>
      </c>
      <c r="D60" s="1" t="s">
        <v>259</v>
      </c>
      <c r="E60" s="1" t="s">
        <v>143</v>
      </c>
      <c r="F60" s="1" t="n">
        <v>36030.23</v>
      </c>
    </row>
    <row r="61" customFormat="false" ht="15" hidden="false" customHeight="true" outlineLevel="0" collapsed="false">
      <c r="A61" s="1" t="s">
        <v>65</v>
      </c>
      <c r="B61" s="1" t="s">
        <v>279</v>
      </c>
      <c r="C61" s="1" t="n">
        <v>6000</v>
      </c>
      <c r="D61" s="1" t="s">
        <v>259</v>
      </c>
      <c r="E61" s="1" t="s">
        <v>143</v>
      </c>
      <c r="F61" s="1" t="n">
        <v>35247.53</v>
      </c>
    </row>
    <row r="62" customFormat="false" ht="15" hidden="false" customHeight="true" outlineLevel="0" collapsed="false">
      <c r="A62" s="1" t="s">
        <v>65</v>
      </c>
      <c r="B62" s="1" t="s">
        <v>252</v>
      </c>
      <c r="C62" s="1" t="n">
        <v>6010</v>
      </c>
      <c r="D62" s="1" t="s">
        <v>261</v>
      </c>
      <c r="E62" s="1" t="s">
        <v>143</v>
      </c>
      <c r="F62" s="1" t="n">
        <v>36650.77</v>
      </c>
    </row>
    <row r="63" customFormat="false" ht="15" hidden="false" customHeight="true" outlineLevel="0" collapsed="false">
      <c r="A63" s="1" t="s">
        <v>65</v>
      </c>
      <c r="B63" s="1" t="s">
        <v>270</v>
      </c>
      <c r="C63" s="1" t="n">
        <v>6010</v>
      </c>
      <c r="D63" s="1" t="s">
        <v>261</v>
      </c>
      <c r="E63" s="1" t="s">
        <v>143</v>
      </c>
      <c r="F63" s="1" t="n">
        <v>36435.76</v>
      </c>
    </row>
    <row r="64" customFormat="false" ht="15" hidden="false" customHeight="true" outlineLevel="0" collapsed="false">
      <c r="A64" s="1" t="s">
        <v>65</v>
      </c>
      <c r="B64" s="1" t="s">
        <v>271</v>
      </c>
      <c r="C64" s="1" t="n">
        <v>6010</v>
      </c>
      <c r="D64" s="1" t="s">
        <v>261</v>
      </c>
      <c r="E64" s="1" t="s">
        <v>143</v>
      </c>
      <c r="F64" s="1" t="n">
        <v>35024.73</v>
      </c>
    </row>
    <row r="65" customFormat="false" ht="15" hidden="false" customHeight="true" outlineLevel="0" collapsed="false">
      <c r="A65" s="1" t="s">
        <v>65</v>
      </c>
      <c r="B65" s="1" t="s">
        <v>272</v>
      </c>
      <c r="C65" s="1" t="n">
        <v>6010</v>
      </c>
      <c r="D65" s="1" t="s">
        <v>261</v>
      </c>
      <c r="E65" s="1" t="s">
        <v>143</v>
      </c>
      <c r="F65" s="1" t="n">
        <v>35883.99</v>
      </c>
    </row>
    <row r="66" customFormat="false" ht="15" hidden="false" customHeight="true" outlineLevel="0" collapsed="false">
      <c r="A66" s="1" t="s">
        <v>65</v>
      </c>
      <c r="B66" s="1" t="s">
        <v>273</v>
      </c>
      <c r="C66" s="1" t="n">
        <v>6010</v>
      </c>
      <c r="D66" s="1" t="s">
        <v>261</v>
      </c>
      <c r="E66" s="1" t="s">
        <v>143</v>
      </c>
      <c r="F66" s="1" t="n">
        <v>35654.34</v>
      </c>
    </row>
    <row r="67" customFormat="false" ht="15" hidden="false" customHeight="true" outlineLevel="0" collapsed="false">
      <c r="A67" s="1" t="s">
        <v>65</v>
      </c>
      <c r="B67" s="1" t="s">
        <v>129</v>
      </c>
      <c r="C67" s="1" t="n">
        <v>6010</v>
      </c>
      <c r="D67" s="1" t="s">
        <v>261</v>
      </c>
      <c r="E67" s="1" t="s">
        <v>143</v>
      </c>
      <c r="F67" s="1" t="n">
        <v>36163.52</v>
      </c>
    </row>
    <row r="68" customFormat="false" ht="15" hidden="false" customHeight="true" outlineLevel="0" collapsed="false">
      <c r="A68" s="1" t="s">
        <v>65</v>
      </c>
      <c r="B68" s="1" t="s">
        <v>274</v>
      </c>
      <c r="C68" s="1" t="n">
        <v>6010</v>
      </c>
      <c r="D68" s="1" t="s">
        <v>261</v>
      </c>
      <c r="E68" s="1" t="s">
        <v>143</v>
      </c>
      <c r="F68" s="1" t="n">
        <v>34520.69</v>
      </c>
    </row>
    <row r="69" customFormat="false" ht="15" hidden="false" customHeight="true" outlineLevel="0" collapsed="false">
      <c r="A69" s="1" t="s">
        <v>65</v>
      </c>
      <c r="B69" s="1" t="s">
        <v>275</v>
      </c>
      <c r="C69" s="1" t="n">
        <v>6010</v>
      </c>
      <c r="D69" s="1" t="s">
        <v>261</v>
      </c>
      <c r="E69" s="1" t="s">
        <v>143</v>
      </c>
      <c r="F69" s="1" t="n">
        <v>35682.98</v>
      </c>
    </row>
    <row r="70" customFormat="false" ht="15" hidden="false" customHeight="true" outlineLevel="0" collapsed="false">
      <c r="A70" s="1" t="s">
        <v>65</v>
      </c>
      <c r="B70" s="1" t="s">
        <v>276</v>
      </c>
      <c r="C70" s="1" t="n">
        <v>6010</v>
      </c>
      <c r="D70" s="1" t="s">
        <v>261</v>
      </c>
      <c r="E70" s="1" t="s">
        <v>143</v>
      </c>
      <c r="F70" s="1" t="n">
        <v>35945.13</v>
      </c>
    </row>
    <row r="71" customFormat="false" ht="15" hidden="false" customHeight="true" outlineLevel="0" collapsed="false">
      <c r="A71" s="1" t="s">
        <v>65</v>
      </c>
      <c r="B71" s="1" t="s">
        <v>277</v>
      </c>
      <c r="C71" s="1" t="n">
        <v>6010</v>
      </c>
      <c r="D71" s="1" t="s">
        <v>261</v>
      </c>
      <c r="E71" s="1" t="s">
        <v>143</v>
      </c>
      <c r="F71" s="1" t="n">
        <v>33961.85</v>
      </c>
    </row>
    <row r="72" customFormat="false" ht="15" hidden="false" customHeight="true" outlineLevel="0" collapsed="false">
      <c r="A72" s="1" t="s">
        <v>65</v>
      </c>
      <c r="B72" s="1" t="s">
        <v>278</v>
      </c>
      <c r="C72" s="1" t="n">
        <v>6010</v>
      </c>
      <c r="D72" s="1" t="s">
        <v>261</v>
      </c>
      <c r="E72" s="1" t="s">
        <v>143</v>
      </c>
      <c r="F72" s="1" t="n">
        <v>34366.99</v>
      </c>
    </row>
    <row r="73" customFormat="false" ht="15" hidden="false" customHeight="true" outlineLevel="0" collapsed="false">
      <c r="A73" s="1" t="s">
        <v>65</v>
      </c>
      <c r="B73" s="1" t="s">
        <v>279</v>
      </c>
      <c r="C73" s="1" t="n">
        <v>6010</v>
      </c>
      <c r="D73" s="1" t="s">
        <v>261</v>
      </c>
      <c r="E73" s="1" t="s">
        <v>143</v>
      </c>
      <c r="F73" s="1" t="n">
        <v>33764.38</v>
      </c>
    </row>
    <row r="74" customFormat="false" ht="15" hidden="false" customHeight="true" outlineLevel="0" collapsed="false">
      <c r="A74" s="1" t="s">
        <v>65</v>
      </c>
      <c r="B74" s="1" t="s">
        <v>252</v>
      </c>
      <c r="C74" s="1" t="n">
        <v>6020</v>
      </c>
      <c r="D74" s="1" t="s">
        <v>263</v>
      </c>
      <c r="E74" s="1" t="s">
        <v>143</v>
      </c>
      <c r="F74" s="1" t="n">
        <v>35010.34</v>
      </c>
    </row>
    <row r="75" customFormat="false" ht="15" hidden="false" customHeight="true" outlineLevel="0" collapsed="false">
      <c r="A75" s="1" t="s">
        <v>65</v>
      </c>
      <c r="B75" s="1" t="s">
        <v>270</v>
      </c>
      <c r="C75" s="1" t="n">
        <v>6020</v>
      </c>
      <c r="D75" s="1" t="s">
        <v>263</v>
      </c>
      <c r="E75" s="1" t="s">
        <v>143</v>
      </c>
      <c r="F75" s="1" t="n">
        <v>35705.15</v>
      </c>
    </row>
    <row r="76" customFormat="false" ht="15" hidden="false" customHeight="true" outlineLevel="0" collapsed="false">
      <c r="A76" s="1" t="s">
        <v>65</v>
      </c>
      <c r="B76" s="1" t="s">
        <v>271</v>
      </c>
      <c r="C76" s="1" t="n">
        <v>6020</v>
      </c>
      <c r="D76" s="1" t="s">
        <v>263</v>
      </c>
      <c r="E76" s="1" t="s">
        <v>143</v>
      </c>
      <c r="F76" s="1" t="n">
        <v>36257.66</v>
      </c>
    </row>
    <row r="77" customFormat="false" ht="15" hidden="false" customHeight="true" outlineLevel="0" collapsed="false">
      <c r="A77" s="1" t="s">
        <v>65</v>
      </c>
      <c r="B77" s="1" t="s">
        <v>272</v>
      </c>
      <c r="C77" s="1" t="n">
        <v>6020</v>
      </c>
      <c r="D77" s="1" t="s">
        <v>263</v>
      </c>
      <c r="E77" s="1" t="s">
        <v>143</v>
      </c>
      <c r="F77" s="1" t="n">
        <v>35252.16</v>
      </c>
    </row>
    <row r="78" customFormat="false" ht="15" hidden="false" customHeight="true" outlineLevel="0" collapsed="false">
      <c r="A78" s="1" t="s">
        <v>65</v>
      </c>
      <c r="B78" s="1" t="s">
        <v>273</v>
      </c>
      <c r="C78" s="1" t="n">
        <v>6020</v>
      </c>
      <c r="D78" s="1" t="s">
        <v>263</v>
      </c>
      <c r="E78" s="1" t="s">
        <v>143</v>
      </c>
      <c r="F78" s="1" t="n">
        <v>36346.55</v>
      </c>
    </row>
    <row r="79" customFormat="false" ht="15" hidden="false" customHeight="true" outlineLevel="0" collapsed="false">
      <c r="A79" s="1" t="s">
        <v>65</v>
      </c>
      <c r="B79" s="1" t="s">
        <v>129</v>
      </c>
      <c r="C79" s="1" t="n">
        <v>6020</v>
      </c>
      <c r="D79" s="1" t="s">
        <v>263</v>
      </c>
      <c r="E79" s="1" t="s">
        <v>143</v>
      </c>
      <c r="F79" s="1" t="n">
        <v>34228.41</v>
      </c>
    </row>
    <row r="80" customFormat="false" ht="15" hidden="false" customHeight="true" outlineLevel="0" collapsed="false">
      <c r="A80" s="1" t="s">
        <v>65</v>
      </c>
      <c r="B80" s="1" t="s">
        <v>274</v>
      </c>
      <c r="C80" s="1" t="n">
        <v>6020</v>
      </c>
      <c r="D80" s="1" t="s">
        <v>263</v>
      </c>
      <c r="E80" s="1" t="s">
        <v>143</v>
      </c>
      <c r="F80" s="1" t="n">
        <v>34000.82</v>
      </c>
    </row>
    <row r="81" customFormat="false" ht="15" hidden="false" customHeight="true" outlineLevel="0" collapsed="false">
      <c r="A81" s="1" t="s">
        <v>65</v>
      </c>
      <c r="B81" s="1" t="s">
        <v>275</v>
      </c>
      <c r="C81" s="1" t="n">
        <v>6020</v>
      </c>
      <c r="D81" s="1" t="s">
        <v>263</v>
      </c>
      <c r="E81" s="1" t="s">
        <v>143</v>
      </c>
      <c r="F81" s="1" t="n">
        <v>35160.89</v>
      </c>
    </row>
    <row r="82" customFormat="false" ht="15" hidden="false" customHeight="true" outlineLevel="0" collapsed="false">
      <c r="A82" s="1" t="s">
        <v>65</v>
      </c>
      <c r="B82" s="1" t="s">
        <v>276</v>
      </c>
      <c r="C82" s="1" t="n">
        <v>6020</v>
      </c>
      <c r="D82" s="1" t="s">
        <v>263</v>
      </c>
      <c r="E82" s="1" t="s">
        <v>143</v>
      </c>
      <c r="F82" s="1" t="n">
        <v>35470.38</v>
      </c>
    </row>
    <row r="83" customFormat="false" ht="15" hidden="false" customHeight="true" outlineLevel="0" collapsed="false">
      <c r="A83" s="1" t="s">
        <v>65</v>
      </c>
      <c r="B83" s="1" t="s">
        <v>277</v>
      </c>
      <c r="C83" s="1" t="n">
        <v>6020</v>
      </c>
      <c r="D83" s="1" t="s">
        <v>263</v>
      </c>
      <c r="E83" s="1" t="s">
        <v>143</v>
      </c>
      <c r="F83" s="1" t="n">
        <v>35176.98</v>
      </c>
    </row>
    <row r="84" customFormat="false" ht="15" hidden="false" customHeight="true" outlineLevel="0" collapsed="false">
      <c r="A84" s="1" t="s">
        <v>65</v>
      </c>
      <c r="B84" s="1" t="s">
        <v>278</v>
      </c>
      <c r="C84" s="1" t="n">
        <v>6020</v>
      </c>
      <c r="D84" s="1" t="s">
        <v>263</v>
      </c>
      <c r="E84" s="1" t="s">
        <v>143</v>
      </c>
      <c r="F84" s="1" t="n">
        <v>33744.52</v>
      </c>
    </row>
    <row r="85" customFormat="false" ht="15" hidden="false" customHeight="true" outlineLevel="0" collapsed="false">
      <c r="A85" s="1" t="s">
        <v>65</v>
      </c>
      <c r="B85" s="1" t="s">
        <v>279</v>
      </c>
      <c r="C85" s="1" t="n">
        <v>6020</v>
      </c>
      <c r="D85" s="1" t="s">
        <v>263</v>
      </c>
      <c r="E85" s="1" t="s">
        <v>143</v>
      </c>
      <c r="F85" s="1" t="n">
        <v>35137.26</v>
      </c>
    </row>
    <row r="86" customFormat="false" ht="15" hidden="false" customHeight="true" outlineLevel="0" collapsed="false">
      <c r="A86" s="1" t="s">
        <v>65</v>
      </c>
      <c r="B86" s="1" t="s">
        <v>252</v>
      </c>
      <c r="C86" s="1" t="n">
        <v>6030</v>
      </c>
      <c r="D86" s="1" t="s">
        <v>265</v>
      </c>
      <c r="E86" s="1" t="s">
        <v>143</v>
      </c>
      <c r="F86" s="1" t="n">
        <v>34281.65</v>
      </c>
    </row>
    <row r="87" customFormat="false" ht="15" hidden="false" customHeight="true" outlineLevel="0" collapsed="false">
      <c r="A87" s="1" t="s">
        <v>65</v>
      </c>
      <c r="B87" s="1" t="s">
        <v>270</v>
      </c>
      <c r="C87" s="1" t="n">
        <v>6030</v>
      </c>
      <c r="D87" s="1" t="s">
        <v>265</v>
      </c>
      <c r="E87" s="1" t="s">
        <v>143</v>
      </c>
      <c r="F87" s="1" t="n">
        <v>35671.45</v>
      </c>
    </row>
    <row r="88" customFormat="false" ht="15" hidden="false" customHeight="true" outlineLevel="0" collapsed="false">
      <c r="A88" s="1" t="s">
        <v>65</v>
      </c>
      <c r="B88" s="1" t="s">
        <v>271</v>
      </c>
      <c r="C88" s="1" t="n">
        <v>6030</v>
      </c>
      <c r="D88" s="1" t="s">
        <v>265</v>
      </c>
      <c r="E88" s="1" t="s">
        <v>143</v>
      </c>
      <c r="F88" s="1" t="n">
        <v>35458.09</v>
      </c>
    </row>
    <row r="89" customFormat="false" ht="15" hidden="false" customHeight="true" outlineLevel="0" collapsed="false">
      <c r="A89" s="1" t="s">
        <v>65</v>
      </c>
      <c r="B89" s="1" t="s">
        <v>272</v>
      </c>
      <c r="C89" s="1" t="n">
        <v>6030</v>
      </c>
      <c r="D89" s="1" t="s">
        <v>265</v>
      </c>
      <c r="E89" s="1" t="s">
        <v>143</v>
      </c>
      <c r="F89" s="1" t="n">
        <v>34538.32</v>
      </c>
    </row>
    <row r="90" customFormat="false" ht="15" hidden="false" customHeight="true" outlineLevel="0" collapsed="false">
      <c r="A90" s="1" t="s">
        <v>65</v>
      </c>
      <c r="B90" s="1" t="s">
        <v>273</v>
      </c>
      <c r="C90" s="1" t="n">
        <v>6030</v>
      </c>
      <c r="D90" s="1" t="s">
        <v>265</v>
      </c>
      <c r="E90" s="1" t="s">
        <v>143</v>
      </c>
      <c r="F90" s="1" t="n">
        <v>34838.24</v>
      </c>
    </row>
    <row r="91" customFormat="false" ht="15" hidden="false" customHeight="true" outlineLevel="0" collapsed="false">
      <c r="A91" s="1" t="s">
        <v>65</v>
      </c>
      <c r="B91" s="1" t="s">
        <v>129</v>
      </c>
      <c r="C91" s="1" t="n">
        <v>6030</v>
      </c>
      <c r="D91" s="1" t="s">
        <v>265</v>
      </c>
      <c r="E91" s="1" t="s">
        <v>143</v>
      </c>
      <c r="F91" s="1" t="n">
        <v>34454.31</v>
      </c>
    </row>
    <row r="92" customFormat="false" ht="15" hidden="false" customHeight="true" outlineLevel="0" collapsed="false">
      <c r="A92" s="1" t="s">
        <v>65</v>
      </c>
      <c r="B92" s="1" t="s">
        <v>274</v>
      </c>
      <c r="C92" s="1" t="n">
        <v>6030</v>
      </c>
      <c r="D92" s="1" t="s">
        <v>265</v>
      </c>
      <c r="E92" s="1" t="s">
        <v>143</v>
      </c>
      <c r="F92" s="1" t="n">
        <v>35155.87</v>
      </c>
    </row>
    <row r="93" customFormat="false" ht="15" hidden="false" customHeight="true" outlineLevel="0" collapsed="false">
      <c r="A93" s="1" t="s">
        <v>65</v>
      </c>
      <c r="B93" s="1" t="s">
        <v>275</v>
      </c>
      <c r="C93" s="1" t="n">
        <v>6030</v>
      </c>
      <c r="D93" s="1" t="s">
        <v>265</v>
      </c>
      <c r="E93" s="1" t="s">
        <v>143</v>
      </c>
      <c r="F93" s="1" t="n">
        <v>35872.42</v>
      </c>
    </row>
    <row r="94" customFormat="false" ht="15" hidden="false" customHeight="true" outlineLevel="0" collapsed="false">
      <c r="A94" s="1" t="s">
        <v>65</v>
      </c>
      <c r="B94" s="1" t="s">
        <v>276</v>
      </c>
      <c r="C94" s="1" t="n">
        <v>6030</v>
      </c>
      <c r="D94" s="1" t="s">
        <v>265</v>
      </c>
      <c r="E94" s="1" t="s">
        <v>143</v>
      </c>
      <c r="F94" s="1" t="n">
        <v>34506.05</v>
      </c>
    </row>
    <row r="95" customFormat="false" ht="15" hidden="false" customHeight="true" outlineLevel="0" collapsed="false">
      <c r="A95" s="1" t="s">
        <v>65</v>
      </c>
      <c r="B95" s="1" t="s">
        <v>277</v>
      </c>
      <c r="C95" s="1" t="n">
        <v>6030</v>
      </c>
      <c r="D95" s="1" t="s">
        <v>265</v>
      </c>
      <c r="E95" s="1" t="s">
        <v>143</v>
      </c>
      <c r="F95" s="1" t="n">
        <v>35554.85</v>
      </c>
    </row>
    <row r="96" customFormat="false" ht="15" hidden="false" customHeight="true" outlineLevel="0" collapsed="false">
      <c r="A96" s="1" t="s">
        <v>65</v>
      </c>
      <c r="B96" s="1" t="s">
        <v>278</v>
      </c>
      <c r="C96" s="1" t="n">
        <v>6030</v>
      </c>
      <c r="D96" s="1" t="s">
        <v>265</v>
      </c>
      <c r="E96" s="1" t="s">
        <v>143</v>
      </c>
      <c r="F96" s="1" t="n">
        <v>34826.7</v>
      </c>
    </row>
    <row r="97" customFormat="false" ht="15" hidden="false" customHeight="true" outlineLevel="0" collapsed="false">
      <c r="A97" s="1" t="s">
        <v>65</v>
      </c>
      <c r="B97" s="1" t="s">
        <v>279</v>
      </c>
      <c r="C97" s="1" t="n">
        <v>6030</v>
      </c>
      <c r="D97" s="1" t="s">
        <v>265</v>
      </c>
      <c r="E97" s="1" t="s">
        <v>143</v>
      </c>
      <c r="F97" s="1" t="n">
        <v>34641.82</v>
      </c>
    </row>
    <row r="98" customFormat="false" ht="15" hidden="false" customHeight="true" outlineLevel="0" collapsed="false">
      <c r="A98" s="1" t="s">
        <v>65</v>
      </c>
      <c r="B98" s="1" t="s">
        <v>252</v>
      </c>
      <c r="C98" s="1" t="n">
        <v>6040</v>
      </c>
      <c r="D98" s="1" t="s">
        <v>266</v>
      </c>
      <c r="E98" s="1" t="s">
        <v>143</v>
      </c>
      <c r="F98" s="1" t="n">
        <v>35124.65</v>
      </c>
    </row>
    <row r="99" customFormat="false" ht="15" hidden="false" customHeight="true" outlineLevel="0" collapsed="false">
      <c r="A99" s="1" t="s">
        <v>65</v>
      </c>
      <c r="B99" s="1" t="s">
        <v>270</v>
      </c>
      <c r="C99" s="1" t="n">
        <v>6040</v>
      </c>
      <c r="D99" s="1" t="s">
        <v>266</v>
      </c>
      <c r="E99" s="1" t="s">
        <v>143</v>
      </c>
      <c r="F99" s="1" t="n">
        <v>34471.19</v>
      </c>
    </row>
    <row r="100" customFormat="false" ht="15" hidden="false" customHeight="true" outlineLevel="0" collapsed="false">
      <c r="A100" s="1" t="s">
        <v>65</v>
      </c>
      <c r="B100" s="1" t="s">
        <v>271</v>
      </c>
      <c r="C100" s="1" t="n">
        <v>6040</v>
      </c>
      <c r="D100" s="1" t="s">
        <v>266</v>
      </c>
      <c r="E100" s="1" t="s">
        <v>143</v>
      </c>
      <c r="F100" s="1" t="n">
        <v>34810.23</v>
      </c>
    </row>
    <row r="101" customFormat="false" ht="15" hidden="false" customHeight="true" outlineLevel="0" collapsed="false">
      <c r="A101" s="1" t="s">
        <v>65</v>
      </c>
      <c r="B101" s="1" t="s">
        <v>272</v>
      </c>
      <c r="C101" s="1" t="n">
        <v>6040</v>
      </c>
      <c r="D101" s="1" t="s">
        <v>266</v>
      </c>
      <c r="E101" s="1" t="s">
        <v>143</v>
      </c>
      <c r="F101" s="1" t="n">
        <v>34356.69</v>
      </c>
    </row>
    <row r="102" customFormat="false" ht="15" hidden="false" customHeight="true" outlineLevel="0" collapsed="false">
      <c r="A102" s="1" t="s">
        <v>65</v>
      </c>
      <c r="B102" s="1" t="s">
        <v>273</v>
      </c>
      <c r="C102" s="1" t="n">
        <v>6040</v>
      </c>
      <c r="D102" s="1" t="s">
        <v>266</v>
      </c>
      <c r="E102" s="1" t="s">
        <v>143</v>
      </c>
      <c r="F102" s="1" t="n">
        <v>36583.17</v>
      </c>
    </row>
    <row r="103" customFormat="false" ht="15" hidden="false" customHeight="true" outlineLevel="0" collapsed="false">
      <c r="A103" s="1" t="s">
        <v>65</v>
      </c>
      <c r="B103" s="1" t="s">
        <v>129</v>
      </c>
      <c r="C103" s="1" t="n">
        <v>6040</v>
      </c>
      <c r="D103" s="1" t="s">
        <v>266</v>
      </c>
      <c r="E103" s="1" t="s">
        <v>143</v>
      </c>
      <c r="F103" s="1" t="n">
        <v>35224.83</v>
      </c>
    </row>
    <row r="104" customFormat="false" ht="15" hidden="false" customHeight="true" outlineLevel="0" collapsed="false">
      <c r="A104" s="1" t="s">
        <v>65</v>
      </c>
      <c r="B104" s="1" t="s">
        <v>274</v>
      </c>
      <c r="C104" s="1" t="n">
        <v>6040</v>
      </c>
      <c r="D104" s="1" t="s">
        <v>266</v>
      </c>
      <c r="E104" s="1" t="s">
        <v>143</v>
      </c>
      <c r="F104" s="1" t="n">
        <v>34707.39</v>
      </c>
    </row>
    <row r="105" customFormat="false" ht="15" hidden="false" customHeight="true" outlineLevel="0" collapsed="false">
      <c r="A105" s="1" t="s">
        <v>65</v>
      </c>
      <c r="B105" s="1" t="s">
        <v>275</v>
      </c>
      <c r="C105" s="1" t="n">
        <v>6040</v>
      </c>
      <c r="D105" s="1" t="s">
        <v>266</v>
      </c>
      <c r="E105" s="1" t="s">
        <v>143</v>
      </c>
      <c r="F105" s="1" t="n">
        <v>35350.64</v>
      </c>
    </row>
    <row r="106" customFormat="false" ht="15" hidden="false" customHeight="true" outlineLevel="0" collapsed="false">
      <c r="A106" s="1" t="s">
        <v>65</v>
      </c>
      <c r="B106" s="1" t="s">
        <v>276</v>
      </c>
      <c r="C106" s="1" t="n">
        <v>6040</v>
      </c>
      <c r="D106" s="1" t="s">
        <v>266</v>
      </c>
      <c r="E106" s="1" t="s">
        <v>143</v>
      </c>
      <c r="F106" s="1" t="n">
        <v>35120.92</v>
      </c>
    </row>
    <row r="107" customFormat="false" ht="15" hidden="false" customHeight="true" outlineLevel="0" collapsed="false">
      <c r="A107" s="1" t="s">
        <v>65</v>
      </c>
      <c r="B107" s="1" t="s">
        <v>277</v>
      </c>
      <c r="C107" s="1" t="n">
        <v>6040</v>
      </c>
      <c r="D107" s="1" t="s">
        <v>266</v>
      </c>
      <c r="E107" s="1" t="s">
        <v>143</v>
      </c>
      <c r="F107" s="1" t="n">
        <v>35044.44</v>
      </c>
    </row>
    <row r="108" customFormat="false" ht="15" hidden="false" customHeight="true" outlineLevel="0" collapsed="false">
      <c r="A108" s="1" t="s">
        <v>65</v>
      </c>
      <c r="B108" s="1" t="s">
        <v>278</v>
      </c>
      <c r="C108" s="1" t="n">
        <v>6040</v>
      </c>
      <c r="D108" s="1" t="s">
        <v>266</v>
      </c>
      <c r="E108" s="1" t="s">
        <v>143</v>
      </c>
      <c r="F108" s="1" t="n">
        <v>35632.37</v>
      </c>
    </row>
    <row r="109" customFormat="false" ht="15" hidden="false" customHeight="true" outlineLevel="0" collapsed="false">
      <c r="A109" s="1" t="s">
        <v>65</v>
      </c>
      <c r="B109" s="1" t="s">
        <v>279</v>
      </c>
      <c r="C109" s="1" t="n">
        <v>6040</v>
      </c>
      <c r="D109" s="1" t="s">
        <v>266</v>
      </c>
      <c r="E109" s="1" t="s">
        <v>143</v>
      </c>
      <c r="F109" s="1" t="n">
        <v>35733.29</v>
      </c>
    </row>
    <row r="110" customFormat="false" ht="15" hidden="false" customHeight="true" outlineLevel="0" collapsed="false">
      <c r="A110" s="1" t="s">
        <v>65</v>
      </c>
      <c r="B110" s="1" t="s">
        <v>252</v>
      </c>
      <c r="C110" s="1" t="n">
        <v>7000</v>
      </c>
      <c r="D110" s="1" t="s">
        <v>267</v>
      </c>
      <c r="E110" s="1" t="s">
        <v>143</v>
      </c>
      <c r="F110" s="1" t="n">
        <v>34826.53</v>
      </c>
    </row>
    <row r="111" customFormat="false" ht="15" hidden="false" customHeight="true" outlineLevel="0" collapsed="false">
      <c r="A111" s="1" t="s">
        <v>65</v>
      </c>
      <c r="B111" s="1" t="s">
        <v>270</v>
      </c>
      <c r="C111" s="1" t="n">
        <v>7000</v>
      </c>
      <c r="D111" s="1" t="s">
        <v>267</v>
      </c>
      <c r="E111" s="1" t="s">
        <v>143</v>
      </c>
      <c r="F111" s="1" t="n">
        <v>34794.62</v>
      </c>
    </row>
    <row r="112" customFormat="false" ht="15" hidden="false" customHeight="true" outlineLevel="0" collapsed="false">
      <c r="A112" s="1" t="s">
        <v>65</v>
      </c>
      <c r="B112" s="1" t="s">
        <v>271</v>
      </c>
      <c r="C112" s="1" t="n">
        <v>7000</v>
      </c>
      <c r="D112" s="1" t="s">
        <v>267</v>
      </c>
      <c r="E112" s="1" t="s">
        <v>143</v>
      </c>
      <c r="F112" s="1" t="n">
        <v>35006.36</v>
      </c>
    </row>
    <row r="113" customFormat="false" ht="15" hidden="false" customHeight="true" outlineLevel="0" collapsed="false">
      <c r="A113" s="1" t="s">
        <v>65</v>
      </c>
      <c r="B113" s="1" t="s">
        <v>272</v>
      </c>
      <c r="C113" s="1" t="n">
        <v>7000</v>
      </c>
      <c r="D113" s="1" t="s">
        <v>267</v>
      </c>
      <c r="E113" s="1" t="s">
        <v>143</v>
      </c>
      <c r="F113" s="1" t="n">
        <v>33579.45</v>
      </c>
    </row>
    <row r="114" customFormat="false" ht="15" hidden="false" customHeight="true" outlineLevel="0" collapsed="false">
      <c r="A114" s="1" t="s">
        <v>65</v>
      </c>
      <c r="B114" s="1" t="s">
        <v>273</v>
      </c>
      <c r="C114" s="1" t="n">
        <v>7000</v>
      </c>
      <c r="D114" s="1" t="s">
        <v>267</v>
      </c>
      <c r="E114" s="1" t="s">
        <v>143</v>
      </c>
      <c r="F114" s="1" t="n">
        <v>34133.31</v>
      </c>
    </row>
    <row r="115" customFormat="false" ht="15" hidden="false" customHeight="true" outlineLevel="0" collapsed="false">
      <c r="A115" s="1" t="s">
        <v>65</v>
      </c>
      <c r="B115" s="1" t="s">
        <v>129</v>
      </c>
      <c r="C115" s="1" t="n">
        <v>7000</v>
      </c>
      <c r="D115" s="1" t="s">
        <v>267</v>
      </c>
      <c r="E115" s="1" t="s">
        <v>143</v>
      </c>
      <c r="F115" s="1" t="n">
        <v>36162.28</v>
      </c>
    </row>
    <row r="116" customFormat="false" ht="15" hidden="false" customHeight="true" outlineLevel="0" collapsed="false">
      <c r="A116" s="1" t="s">
        <v>65</v>
      </c>
      <c r="B116" s="1" t="s">
        <v>274</v>
      </c>
      <c r="C116" s="1" t="n">
        <v>7000</v>
      </c>
      <c r="D116" s="1" t="s">
        <v>267</v>
      </c>
      <c r="E116" s="1" t="s">
        <v>143</v>
      </c>
      <c r="F116" s="1" t="n">
        <v>36358.06</v>
      </c>
    </row>
    <row r="117" customFormat="false" ht="15" hidden="false" customHeight="true" outlineLevel="0" collapsed="false">
      <c r="A117" s="1" t="s">
        <v>65</v>
      </c>
      <c r="B117" s="1" t="s">
        <v>275</v>
      </c>
      <c r="C117" s="1" t="n">
        <v>7000</v>
      </c>
      <c r="D117" s="1" t="s">
        <v>267</v>
      </c>
      <c r="E117" s="1" t="s">
        <v>143</v>
      </c>
      <c r="F117" s="1" t="n">
        <v>35024.68</v>
      </c>
    </row>
    <row r="118" customFormat="false" ht="15" hidden="false" customHeight="true" outlineLevel="0" collapsed="false">
      <c r="A118" s="1" t="s">
        <v>65</v>
      </c>
      <c r="B118" s="1" t="s">
        <v>276</v>
      </c>
      <c r="C118" s="1" t="n">
        <v>7000</v>
      </c>
      <c r="D118" s="1" t="s">
        <v>267</v>
      </c>
      <c r="E118" s="1" t="s">
        <v>143</v>
      </c>
      <c r="F118" s="1" t="n">
        <v>35605.9</v>
      </c>
    </row>
    <row r="119" customFormat="false" ht="15" hidden="false" customHeight="true" outlineLevel="0" collapsed="false">
      <c r="A119" s="1" t="s">
        <v>65</v>
      </c>
      <c r="B119" s="1" t="s">
        <v>277</v>
      </c>
      <c r="C119" s="1" t="n">
        <v>7000</v>
      </c>
      <c r="D119" s="1" t="s">
        <v>267</v>
      </c>
      <c r="E119" s="1" t="s">
        <v>143</v>
      </c>
      <c r="F119" s="1" t="n">
        <v>35419.12</v>
      </c>
    </row>
    <row r="120" customFormat="false" ht="15" hidden="false" customHeight="true" outlineLevel="0" collapsed="false">
      <c r="A120" s="1" t="s">
        <v>65</v>
      </c>
      <c r="B120" s="1" t="s">
        <v>278</v>
      </c>
      <c r="C120" s="1" t="n">
        <v>7000</v>
      </c>
      <c r="D120" s="1" t="s">
        <v>267</v>
      </c>
      <c r="E120" s="1" t="s">
        <v>143</v>
      </c>
      <c r="F120" s="1" t="n">
        <v>37367.53</v>
      </c>
    </row>
    <row r="121" customFormat="false" ht="15" hidden="false" customHeight="true" outlineLevel="0" collapsed="false">
      <c r="A121" s="1" t="s">
        <v>65</v>
      </c>
      <c r="B121" s="1" t="s">
        <v>279</v>
      </c>
      <c r="C121" s="1" t="n">
        <v>7000</v>
      </c>
      <c r="D121" s="1" t="s">
        <v>267</v>
      </c>
      <c r="E121" s="1" t="s">
        <v>143</v>
      </c>
      <c r="F121" s="1" t="n">
        <v>35988.18</v>
      </c>
    </row>
    <row r="122" customFormat="false" ht="15" hidden="false" customHeight="true" outlineLevel="0" collapsed="false">
      <c r="A122" s="1" t="s">
        <v>65</v>
      </c>
      <c r="B122" s="1" t="s">
        <v>252</v>
      </c>
      <c r="C122" s="1" t="n">
        <v>8000</v>
      </c>
      <c r="D122" s="1" t="s">
        <v>268</v>
      </c>
      <c r="E122" s="1" t="s">
        <v>269</v>
      </c>
      <c r="F122" s="1" t="n">
        <v>4787.72</v>
      </c>
    </row>
    <row r="123" customFormat="false" ht="15" hidden="false" customHeight="true" outlineLevel="0" collapsed="false">
      <c r="A123" s="1" t="s">
        <v>65</v>
      </c>
      <c r="B123" s="1" t="s">
        <v>270</v>
      </c>
      <c r="C123" s="1" t="n">
        <v>8000</v>
      </c>
      <c r="D123" s="1" t="s">
        <v>268</v>
      </c>
      <c r="E123" s="1" t="s">
        <v>269</v>
      </c>
      <c r="F123" s="1" t="n">
        <v>4708.27</v>
      </c>
    </row>
    <row r="124" customFormat="false" ht="15" hidden="false" customHeight="true" outlineLevel="0" collapsed="false">
      <c r="A124" s="1" t="s">
        <v>65</v>
      </c>
      <c r="B124" s="1" t="s">
        <v>271</v>
      </c>
      <c r="C124" s="1" t="n">
        <v>8000</v>
      </c>
      <c r="D124" s="1" t="s">
        <v>268</v>
      </c>
      <c r="E124" s="1" t="s">
        <v>269</v>
      </c>
      <c r="F124" s="1" t="n">
        <v>4645.78</v>
      </c>
    </row>
    <row r="125" customFormat="false" ht="15" hidden="false" customHeight="true" outlineLevel="0" collapsed="false">
      <c r="A125" s="1" t="s">
        <v>65</v>
      </c>
      <c r="B125" s="1" t="s">
        <v>272</v>
      </c>
      <c r="C125" s="1" t="n">
        <v>8000</v>
      </c>
      <c r="D125" s="1" t="s">
        <v>268</v>
      </c>
      <c r="E125" s="1" t="s">
        <v>269</v>
      </c>
      <c r="F125" s="1" t="n">
        <v>4819.53</v>
      </c>
    </row>
    <row r="126" customFormat="false" ht="15" hidden="false" customHeight="true" outlineLevel="0" collapsed="false">
      <c r="A126" s="1" t="s">
        <v>65</v>
      </c>
      <c r="B126" s="1" t="s">
        <v>273</v>
      </c>
      <c r="C126" s="1" t="n">
        <v>8000</v>
      </c>
      <c r="D126" s="1" t="s">
        <v>268</v>
      </c>
      <c r="E126" s="1" t="s">
        <v>269</v>
      </c>
      <c r="F126" s="1" t="n">
        <v>4727.39</v>
      </c>
    </row>
    <row r="127" customFormat="false" ht="15" hidden="false" customHeight="true" outlineLevel="0" collapsed="false">
      <c r="A127" s="1" t="s">
        <v>65</v>
      </c>
      <c r="B127" s="1" t="s">
        <v>129</v>
      </c>
      <c r="C127" s="1" t="n">
        <v>8000</v>
      </c>
      <c r="D127" s="1" t="s">
        <v>268</v>
      </c>
      <c r="E127" s="1" t="s">
        <v>269</v>
      </c>
      <c r="F127" s="1" t="n">
        <v>4663.46</v>
      </c>
    </row>
    <row r="128" customFormat="false" ht="15" hidden="false" customHeight="true" outlineLevel="0" collapsed="false">
      <c r="A128" s="1" t="s">
        <v>65</v>
      </c>
      <c r="B128" s="1" t="s">
        <v>274</v>
      </c>
      <c r="C128" s="1" t="n">
        <v>8000</v>
      </c>
      <c r="D128" s="1" t="s">
        <v>268</v>
      </c>
      <c r="E128" s="1" t="s">
        <v>269</v>
      </c>
      <c r="F128" s="1" t="n">
        <v>4737.93</v>
      </c>
    </row>
    <row r="129" customFormat="false" ht="15" hidden="false" customHeight="true" outlineLevel="0" collapsed="false">
      <c r="A129" s="1" t="s">
        <v>65</v>
      </c>
      <c r="B129" s="1" t="s">
        <v>275</v>
      </c>
      <c r="C129" s="1" t="n">
        <v>8000</v>
      </c>
      <c r="D129" s="1" t="s">
        <v>268</v>
      </c>
      <c r="E129" s="1" t="s">
        <v>269</v>
      </c>
      <c r="F129" s="1" t="n">
        <v>4696.17</v>
      </c>
    </row>
    <row r="130" customFormat="false" ht="15" hidden="false" customHeight="true" outlineLevel="0" collapsed="false">
      <c r="A130" s="1" t="s">
        <v>65</v>
      </c>
      <c r="B130" s="1" t="s">
        <v>276</v>
      </c>
      <c r="C130" s="1" t="n">
        <v>8000</v>
      </c>
      <c r="D130" s="1" t="s">
        <v>268</v>
      </c>
      <c r="E130" s="1" t="s">
        <v>269</v>
      </c>
      <c r="F130" s="1" t="n">
        <v>4961.97</v>
      </c>
    </row>
    <row r="131" customFormat="false" ht="15" hidden="false" customHeight="true" outlineLevel="0" collapsed="false">
      <c r="A131" s="1" t="s">
        <v>65</v>
      </c>
      <c r="B131" s="1" t="s">
        <v>277</v>
      </c>
      <c r="C131" s="1" t="n">
        <v>8000</v>
      </c>
      <c r="D131" s="1" t="s">
        <v>268</v>
      </c>
      <c r="E131" s="1" t="s">
        <v>269</v>
      </c>
      <c r="F131" s="1" t="n">
        <v>4884.64</v>
      </c>
    </row>
    <row r="132" customFormat="false" ht="15" hidden="false" customHeight="true" outlineLevel="0" collapsed="false">
      <c r="A132" s="1" t="s">
        <v>65</v>
      </c>
      <c r="B132" s="1" t="s">
        <v>278</v>
      </c>
      <c r="C132" s="1" t="n">
        <v>8000</v>
      </c>
      <c r="D132" s="1" t="s">
        <v>268</v>
      </c>
      <c r="E132" s="1" t="s">
        <v>269</v>
      </c>
      <c r="F132" s="1" t="n">
        <v>4799.23</v>
      </c>
    </row>
    <row r="133" customFormat="false" ht="15" hidden="false" customHeight="true" outlineLevel="0" collapsed="false">
      <c r="A133" s="1" t="s">
        <v>65</v>
      </c>
      <c r="B133" s="1" t="s">
        <v>279</v>
      </c>
      <c r="C133" s="1" t="n">
        <v>8000</v>
      </c>
      <c r="D133" s="1" t="s">
        <v>268</v>
      </c>
      <c r="E133" s="1" t="s">
        <v>269</v>
      </c>
      <c r="F133" s="1" t="n">
        <v>4942.07</v>
      </c>
    </row>
    <row r="134" customFormat="false" ht="15" hidden="false" customHeight="true" outlineLevel="0" collapsed="false">
      <c r="A134" s="1" t="s">
        <v>280</v>
      </c>
      <c r="B134" s="1" t="s">
        <v>252</v>
      </c>
      <c r="C134" s="1" t="n">
        <v>4000</v>
      </c>
      <c r="D134" s="1" t="s">
        <v>253</v>
      </c>
      <c r="E134" s="1" t="s">
        <v>52</v>
      </c>
      <c r="F134" s="1" t="n">
        <v>273422.43</v>
      </c>
    </row>
    <row r="135" customFormat="false" ht="15" hidden="false" customHeight="true" outlineLevel="0" collapsed="false">
      <c r="A135" s="1" t="s">
        <v>280</v>
      </c>
      <c r="B135" s="1" t="s">
        <v>270</v>
      </c>
      <c r="C135" s="1" t="n">
        <v>4000</v>
      </c>
      <c r="D135" s="1" t="s">
        <v>253</v>
      </c>
      <c r="E135" s="1" t="s">
        <v>52</v>
      </c>
      <c r="F135" s="1" t="n">
        <v>268297.39</v>
      </c>
    </row>
    <row r="136" customFormat="false" ht="15" hidden="false" customHeight="true" outlineLevel="0" collapsed="false">
      <c r="A136" s="1" t="s">
        <v>280</v>
      </c>
      <c r="B136" s="1" t="s">
        <v>271</v>
      </c>
      <c r="C136" s="1" t="n">
        <v>4000</v>
      </c>
      <c r="D136" s="1" t="s">
        <v>253</v>
      </c>
      <c r="E136" s="1" t="s">
        <v>52</v>
      </c>
      <c r="F136" s="1" t="n">
        <v>281316.26</v>
      </c>
    </row>
    <row r="137" customFormat="false" ht="15" hidden="false" customHeight="true" outlineLevel="0" collapsed="false">
      <c r="A137" s="1" t="s">
        <v>280</v>
      </c>
      <c r="B137" s="1" t="s">
        <v>272</v>
      </c>
      <c r="C137" s="1" t="n">
        <v>4000</v>
      </c>
      <c r="D137" s="1" t="s">
        <v>253</v>
      </c>
      <c r="E137" s="1" t="s">
        <v>52</v>
      </c>
      <c r="F137" s="1" t="n">
        <v>275942.45</v>
      </c>
    </row>
    <row r="138" customFormat="false" ht="15" hidden="false" customHeight="true" outlineLevel="0" collapsed="false">
      <c r="A138" s="1" t="s">
        <v>280</v>
      </c>
      <c r="B138" s="1" t="s">
        <v>273</v>
      </c>
      <c r="C138" s="1" t="n">
        <v>4000</v>
      </c>
      <c r="D138" s="1" t="s">
        <v>253</v>
      </c>
      <c r="E138" s="1" t="s">
        <v>52</v>
      </c>
      <c r="F138" s="1" t="n">
        <v>267336.64</v>
      </c>
    </row>
    <row r="139" customFormat="false" ht="15" hidden="false" customHeight="true" outlineLevel="0" collapsed="false">
      <c r="A139" s="1" t="s">
        <v>280</v>
      </c>
      <c r="B139" s="1" t="s">
        <v>129</v>
      </c>
      <c r="C139" s="1" t="n">
        <v>4000</v>
      </c>
      <c r="D139" s="1" t="s">
        <v>253</v>
      </c>
      <c r="E139" s="1" t="s">
        <v>52</v>
      </c>
      <c r="F139" s="1" t="n">
        <v>271960.75</v>
      </c>
    </row>
    <row r="140" customFormat="false" ht="15" hidden="false" customHeight="true" outlineLevel="0" collapsed="false">
      <c r="A140" s="1" t="s">
        <v>280</v>
      </c>
      <c r="B140" s="1" t="s">
        <v>274</v>
      </c>
      <c r="C140" s="1" t="n">
        <v>4000</v>
      </c>
      <c r="D140" s="1" t="s">
        <v>253</v>
      </c>
      <c r="E140" s="1" t="s">
        <v>52</v>
      </c>
      <c r="F140" s="1" t="n">
        <v>268219.12</v>
      </c>
    </row>
    <row r="141" customFormat="false" ht="15" hidden="false" customHeight="true" outlineLevel="0" collapsed="false">
      <c r="A141" s="1" t="s">
        <v>280</v>
      </c>
      <c r="B141" s="1" t="s">
        <v>275</v>
      </c>
      <c r="C141" s="1" t="n">
        <v>4000</v>
      </c>
      <c r="D141" s="1" t="s">
        <v>253</v>
      </c>
      <c r="E141" s="1" t="s">
        <v>52</v>
      </c>
      <c r="F141" s="1" t="n">
        <v>265449.91</v>
      </c>
    </row>
    <row r="142" customFormat="false" ht="15" hidden="false" customHeight="true" outlineLevel="0" collapsed="false">
      <c r="A142" s="1" t="s">
        <v>280</v>
      </c>
      <c r="B142" s="1" t="s">
        <v>276</v>
      </c>
      <c r="C142" s="1" t="n">
        <v>4000</v>
      </c>
      <c r="D142" s="1" t="s">
        <v>253</v>
      </c>
      <c r="E142" s="1" t="s">
        <v>52</v>
      </c>
      <c r="F142" s="1" t="n">
        <v>278056.93</v>
      </c>
    </row>
    <row r="143" customFormat="false" ht="15" hidden="false" customHeight="true" outlineLevel="0" collapsed="false">
      <c r="A143" s="1" t="s">
        <v>280</v>
      </c>
      <c r="B143" s="1" t="s">
        <v>277</v>
      </c>
      <c r="C143" s="1" t="n">
        <v>4000</v>
      </c>
      <c r="D143" s="1" t="s">
        <v>253</v>
      </c>
      <c r="E143" s="1" t="s">
        <v>52</v>
      </c>
      <c r="F143" s="1" t="n">
        <v>283425.41</v>
      </c>
    </row>
    <row r="144" customFormat="false" ht="15" hidden="false" customHeight="true" outlineLevel="0" collapsed="false">
      <c r="A144" s="1" t="s">
        <v>280</v>
      </c>
      <c r="B144" s="1" t="s">
        <v>278</v>
      </c>
      <c r="C144" s="1" t="n">
        <v>4000</v>
      </c>
      <c r="D144" s="1" t="s">
        <v>253</v>
      </c>
      <c r="E144" s="1" t="s">
        <v>52</v>
      </c>
      <c r="F144" s="1" t="n">
        <v>265363.82</v>
      </c>
    </row>
    <row r="145" customFormat="false" ht="15" hidden="false" customHeight="true" outlineLevel="0" collapsed="false">
      <c r="A145" s="1" t="s">
        <v>280</v>
      </c>
      <c r="B145" s="1" t="s">
        <v>279</v>
      </c>
      <c r="C145" s="1" t="n">
        <v>4000</v>
      </c>
      <c r="D145" s="1" t="s">
        <v>253</v>
      </c>
      <c r="E145" s="1" t="s">
        <v>52</v>
      </c>
      <c r="F145" s="1" t="n">
        <v>276073.81</v>
      </c>
    </row>
    <row r="146" customFormat="false" ht="15" hidden="false" customHeight="true" outlineLevel="0" collapsed="false">
      <c r="A146" s="1" t="s">
        <v>280</v>
      </c>
      <c r="B146" s="1" t="s">
        <v>252</v>
      </c>
      <c r="C146" s="1" t="n">
        <v>4010</v>
      </c>
      <c r="D146" s="1" t="s">
        <v>255</v>
      </c>
      <c r="E146" s="1" t="s">
        <v>52</v>
      </c>
      <c r="F146" s="1" t="n">
        <v>134723.75</v>
      </c>
    </row>
    <row r="147" customFormat="false" ht="15" hidden="false" customHeight="true" outlineLevel="0" collapsed="false">
      <c r="A147" s="1" t="s">
        <v>280</v>
      </c>
      <c r="B147" s="1" t="s">
        <v>270</v>
      </c>
      <c r="C147" s="1" t="n">
        <v>4010</v>
      </c>
      <c r="D147" s="1" t="s">
        <v>255</v>
      </c>
      <c r="E147" s="1" t="s">
        <v>52</v>
      </c>
      <c r="F147" s="1" t="n">
        <v>135170.15</v>
      </c>
    </row>
    <row r="148" customFormat="false" ht="15" hidden="false" customHeight="true" outlineLevel="0" collapsed="false">
      <c r="A148" s="1" t="s">
        <v>280</v>
      </c>
      <c r="B148" s="1" t="s">
        <v>271</v>
      </c>
      <c r="C148" s="1" t="n">
        <v>4010</v>
      </c>
      <c r="D148" s="1" t="s">
        <v>255</v>
      </c>
      <c r="E148" s="1" t="s">
        <v>52</v>
      </c>
      <c r="F148" s="1" t="n">
        <v>134882.76</v>
      </c>
    </row>
    <row r="149" customFormat="false" ht="15" hidden="false" customHeight="true" outlineLevel="0" collapsed="false">
      <c r="A149" s="1" t="s">
        <v>280</v>
      </c>
      <c r="B149" s="1" t="s">
        <v>272</v>
      </c>
      <c r="C149" s="1" t="n">
        <v>4010</v>
      </c>
      <c r="D149" s="1" t="s">
        <v>255</v>
      </c>
      <c r="E149" s="1" t="s">
        <v>52</v>
      </c>
      <c r="F149" s="1" t="n">
        <v>134141.31</v>
      </c>
    </row>
    <row r="150" customFormat="false" ht="15" hidden="false" customHeight="true" outlineLevel="0" collapsed="false">
      <c r="A150" s="1" t="s">
        <v>280</v>
      </c>
      <c r="B150" s="1" t="s">
        <v>273</v>
      </c>
      <c r="C150" s="1" t="n">
        <v>4010</v>
      </c>
      <c r="D150" s="1" t="s">
        <v>255</v>
      </c>
      <c r="E150" s="1" t="s">
        <v>52</v>
      </c>
      <c r="F150" s="1" t="n">
        <v>136632.46</v>
      </c>
    </row>
    <row r="151" customFormat="false" ht="15" hidden="false" customHeight="true" outlineLevel="0" collapsed="false">
      <c r="A151" s="1" t="s">
        <v>280</v>
      </c>
      <c r="B151" s="1" t="s">
        <v>129</v>
      </c>
      <c r="C151" s="1" t="n">
        <v>4010</v>
      </c>
      <c r="D151" s="1" t="s">
        <v>255</v>
      </c>
      <c r="E151" s="1" t="s">
        <v>52</v>
      </c>
      <c r="F151" s="1" t="n">
        <v>134231.51</v>
      </c>
    </row>
    <row r="152" customFormat="false" ht="15" hidden="false" customHeight="true" outlineLevel="0" collapsed="false">
      <c r="A152" s="1" t="s">
        <v>280</v>
      </c>
      <c r="B152" s="1" t="s">
        <v>274</v>
      </c>
      <c r="C152" s="1" t="n">
        <v>4010</v>
      </c>
      <c r="D152" s="1" t="s">
        <v>255</v>
      </c>
      <c r="E152" s="1" t="s">
        <v>52</v>
      </c>
      <c r="F152" s="1" t="n">
        <v>137238.35</v>
      </c>
    </row>
    <row r="153" customFormat="false" ht="15" hidden="false" customHeight="true" outlineLevel="0" collapsed="false">
      <c r="A153" s="1" t="s">
        <v>280</v>
      </c>
      <c r="B153" s="1" t="s">
        <v>275</v>
      </c>
      <c r="C153" s="1" t="n">
        <v>4010</v>
      </c>
      <c r="D153" s="1" t="s">
        <v>255</v>
      </c>
      <c r="E153" s="1" t="s">
        <v>52</v>
      </c>
      <c r="F153" s="1" t="n">
        <v>136362.85</v>
      </c>
    </row>
    <row r="154" customFormat="false" ht="15" hidden="false" customHeight="true" outlineLevel="0" collapsed="false">
      <c r="A154" s="1" t="s">
        <v>280</v>
      </c>
      <c r="B154" s="1" t="s">
        <v>276</v>
      </c>
      <c r="C154" s="1" t="n">
        <v>4010</v>
      </c>
      <c r="D154" s="1" t="s">
        <v>255</v>
      </c>
      <c r="E154" s="1" t="s">
        <v>52</v>
      </c>
      <c r="F154" s="1" t="n">
        <v>135847.67</v>
      </c>
    </row>
    <row r="155" customFormat="false" ht="15" hidden="false" customHeight="true" outlineLevel="0" collapsed="false">
      <c r="A155" s="1" t="s">
        <v>280</v>
      </c>
      <c r="B155" s="1" t="s">
        <v>277</v>
      </c>
      <c r="C155" s="1" t="n">
        <v>4010</v>
      </c>
      <c r="D155" s="1" t="s">
        <v>255</v>
      </c>
      <c r="E155" s="1" t="s">
        <v>52</v>
      </c>
      <c r="F155" s="1" t="n">
        <v>134022.35</v>
      </c>
    </row>
    <row r="156" customFormat="false" ht="15" hidden="false" customHeight="true" outlineLevel="0" collapsed="false">
      <c r="A156" s="1" t="s">
        <v>280</v>
      </c>
      <c r="B156" s="1" t="s">
        <v>278</v>
      </c>
      <c r="C156" s="1" t="n">
        <v>4010</v>
      </c>
      <c r="D156" s="1" t="s">
        <v>255</v>
      </c>
      <c r="E156" s="1" t="s">
        <v>52</v>
      </c>
      <c r="F156" s="1" t="n">
        <v>134925.41</v>
      </c>
    </row>
    <row r="157" customFormat="false" ht="15" hidden="false" customHeight="true" outlineLevel="0" collapsed="false">
      <c r="A157" s="1" t="s">
        <v>280</v>
      </c>
      <c r="B157" s="1" t="s">
        <v>279</v>
      </c>
      <c r="C157" s="1" t="n">
        <v>4010</v>
      </c>
      <c r="D157" s="1" t="s">
        <v>255</v>
      </c>
      <c r="E157" s="1" t="s">
        <v>52</v>
      </c>
      <c r="F157" s="1" t="n">
        <v>138562.22</v>
      </c>
    </row>
    <row r="158" customFormat="false" ht="15" hidden="false" customHeight="true" outlineLevel="0" collapsed="false">
      <c r="A158" s="1" t="s">
        <v>280</v>
      </c>
      <c r="B158" s="1" t="s">
        <v>252</v>
      </c>
      <c r="C158" s="1" t="n">
        <v>5000</v>
      </c>
      <c r="D158" s="1" t="s">
        <v>256</v>
      </c>
      <c r="E158" s="1" t="s">
        <v>140</v>
      </c>
      <c r="F158" s="1" t="n">
        <v>91911.67</v>
      </c>
    </row>
    <row r="159" customFormat="false" ht="15" hidden="false" customHeight="true" outlineLevel="0" collapsed="false">
      <c r="A159" s="1" t="s">
        <v>280</v>
      </c>
      <c r="B159" s="1" t="s">
        <v>270</v>
      </c>
      <c r="C159" s="1" t="n">
        <v>5000</v>
      </c>
      <c r="D159" s="1" t="s">
        <v>256</v>
      </c>
      <c r="E159" s="1" t="s">
        <v>140</v>
      </c>
      <c r="F159" s="1" t="n">
        <v>89220.85</v>
      </c>
    </row>
    <row r="160" customFormat="false" ht="15" hidden="false" customHeight="true" outlineLevel="0" collapsed="false">
      <c r="A160" s="1" t="s">
        <v>280</v>
      </c>
      <c r="B160" s="1" t="s">
        <v>271</v>
      </c>
      <c r="C160" s="1" t="n">
        <v>5000</v>
      </c>
      <c r="D160" s="1" t="s">
        <v>256</v>
      </c>
      <c r="E160" s="1" t="s">
        <v>140</v>
      </c>
      <c r="F160" s="1" t="n">
        <v>91180.78</v>
      </c>
    </row>
    <row r="161" customFormat="false" ht="15" hidden="false" customHeight="true" outlineLevel="0" collapsed="false">
      <c r="A161" s="1" t="s">
        <v>280</v>
      </c>
      <c r="B161" s="1" t="s">
        <v>272</v>
      </c>
      <c r="C161" s="1" t="n">
        <v>5000</v>
      </c>
      <c r="D161" s="1" t="s">
        <v>256</v>
      </c>
      <c r="E161" s="1" t="s">
        <v>140</v>
      </c>
      <c r="F161" s="1" t="n">
        <v>92367.52</v>
      </c>
    </row>
    <row r="162" customFormat="false" ht="15" hidden="false" customHeight="true" outlineLevel="0" collapsed="false">
      <c r="A162" s="1" t="s">
        <v>280</v>
      </c>
      <c r="B162" s="1" t="s">
        <v>273</v>
      </c>
      <c r="C162" s="1" t="n">
        <v>5000</v>
      </c>
      <c r="D162" s="1" t="s">
        <v>256</v>
      </c>
      <c r="E162" s="1" t="s">
        <v>140</v>
      </c>
      <c r="F162" s="1" t="n">
        <v>87961.68</v>
      </c>
    </row>
    <row r="163" customFormat="false" ht="15" hidden="false" customHeight="true" outlineLevel="0" collapsed="false">
      <c r="A163" s="1" t="s">
        <v>280</v>
      </c>
      <c r="B163" s="1" t="s">
        <v>129</v>
      </c>
      <c r="C163" s="1" t="n">
        <v>5000</v>
      </c>
      <c r="D163" s="1" t="s">
        <v>256</v>
      </c>
      <c r="E163" s="1" t="s">
        <v>140</v>
      </c>
      <c r="F163" s="1" t="n">
        <v>91988.92</v>
      </c>
    </row>
    <row r="164" customFormat="false" ht="15" hidden="false" customHeight="true" outlineLevel="0" collapsed="false">
      <c r="A164" s="1" t="s">
        <v>280</v>
      </c>
      <c r="B164" s="1" t="s">
        <v>274</v>
      </c>
      <c r="C164" s="1" t="n">
        <v>5000</v>
      </c>
      <c r="D164" s="1" t="s">
        <v>256</v>
      </c>
      <c r="E164" s="1" t="s">
        <v>140</v>
      </c>
      <c r="F164" s="1" t="n">
        <v>89794.02</v>
      </c>
    </row>
    <row r="165" customFormat="false" ht="15" hidden="false" customHeight="true" outlineLevel="0" collapsed="false">
      <c r="A165" s="1" t="s">
        <v>280</v>
      </c>
      <c r="B165" s="1" t="s">
        <v>275</v>
      </c>
      <c r="C165" s="1" t="n">
        <v>5000</v>
      </c>
      <c r="D165" s="1" t="s">
        <v>256</v>
      </c>
      <c r="E165" s="1" t="s">
        <v>140</v>
      </c>
      <c r="F165" s="1" t="n">
        <v>92038.49</v>
      </c>
    </row>
    <row r="166" customFormat="false" ht="15" hidden="false" customHeight="true" outlineLevel="0" collapsed="false">
      <c r="A166" s="1" t="s">
        <v>280</v>
      </c>
      <c r="B166" s="1" t="s">
        <v>276</v>
      </c>
      <c r="C166" s="1" t="n">
        <v>5000</v>
      </c>
      <c r="D166" s="1" t="s">
        <v>256</v>
      </c>
      <c r="E166" s="1" t="s">
        <v>140</v>
      </c>
      <c r="F166" s="1" t="n">
        <v>89610.87</v>
      </c>
    </row>
    <row r="167" customFormat="false" ht="15" hidden="false" customHeight="true" outlineLevel="0" collapsed="false">
      <c r="A167" s="1" t="s">
        <v>280</v>
      </c>
      <c r="B167" s="1" t="s">
        <v>277</v>
      </c>
      <c r="C167" s="1" t="n">
        <v>5000</v>
      </c>
      <c r="D167" s="1" t="s">
        <v>256</v>
      </c>
      <c r="E167" s="1" t="s">
        <v>140</v>
      </c>
      <c r="F167" s="1" t="n">
        <v>87715.11</v>
      </c>
    </row>
    <row r="168" customFormat="false" ht="15" hidden="false" customHeight="true" outlineLevel="0" collapsed="false">
      <c r="A168" s="1" t="s">
        <v>280</v>
      </c>
      <c r="B168" s="1" t="s">
        <v>278</v>
      </c>
      <c r="C168" s="1" t="n">
        <v>5000</v>
      </c>
      <c r="D168" s="1" t="s">
        <v>256</v>
      </c>
      <c r="E168" s="1" t="s">
        <v>140</v>
      </c>
      <c r="F168" s="1" t="n">
        <v>88037.87</v>
      </c>
    </row>
    <row r="169" customFormat="false" ht="15" hidden="false" customHeight="true" outlineLevel="0" collapsed="false">
      <c r="A169" s="1" t="s">
        <v>280</v>
      </c>
      <c r="B169" s="1" t="s">
        <v>279</v>
      </c>
      <c r="C169" s="1" t="n">
        <v>5000</v>
      </c>
      <c r="D169" s="1" t="s">
        <v>256</v>
      </c>
      <c r="E169" s="1" t="s">
        <v>140</v>
      </c>
      <c r="F169" s="1" t="n">
        <v>91087.51</v>
      </c>
    </row>
    <row r="170" customFormat="false" ht="15" hidden="false" customHeight="true" outlineLevel="0" collapsed="false">
      <c r="A170" s="1" t="s">
        <v>280</v>
      </c>
      <c r="B170" s="1" t="s">
        <v>252</v>
      </c>
      <c r="C170" s="1" t="n">
        <v>5010</v>
      </c>
      <c r="D170" s="1" t="s">
        <v>258</v>
      </c>
      <c r="E170" s="1" t="s">
        <v>140</v>
      </c>
      <c r="F170" s="1" t="n">
        <v>91472.69</v>
      </c>
    </row>
    <row r="171" customFormat="false" ht="15" hidden="false" customHeight="true" outlineLevel="0" collapsed="false">
      <c r="A171" s="1" t="s">
        <v>280</v>
      </c>
      <c r="B171" s="1" t="s">
        <v>270</v>
      </c>
      <c r="C171" s="1" t="n">
        <v>5010</v>
      </c>
      <c r="D171" s="1" t="s">
        <v>258</v>
      </c>
      <c r="E171" s="1" t="s">
        <v>140</v>
      </c>
      <c r="F171" s="1" t="n">
        <v>89354.14</v>
      </c>
    </row>
    <row r="172" customFormat="false" ht="15" hidden="false" customHeight="true" outlineLevel="0" collapsed="false">
      <c r="A172" s="1" t="s">
        <v>280</v>
      </c>
      <c r="B172" s="1" t="s">
        <v>271</v>
      </c>
      <c r="C172" s="1" t="n">
        <v>5010</v>
      </c>
      <c r="D172" s="1" t="s">
        <v>258</v>
      </c>
      <c r="E172" s="1" t="s">
        <v>140</v>
      </c>
      <c r="F172" s="1" t="n">
        <v>92162.24</v>
      </c>
    </row>
    <row r="173" customFormat="false" ht="15" hidden="false" customHeight="true" outlineLevel="0" collapsed="false">
      <c r="A173" s="1" t="s">
        <v>280</v>
      </c>
      <c r="B173" s="1" t="s">
        <v>272</v>
      </c>
      <c r="C173" s="1" t="n">
        <v>5010</v>
      </c>
      <c r="D173" s="1" t="s">
        <v>258</v>
      </c>
      <c r="E173" s="1" t="s">
        <v>140</v>
      </c>
      <c r="F173" s="1" t="n">
        <v>87976.03</v>
      </c>
    </row>
    <row r="174" customFormat="false" ht="15" hidden="false" customHeight="true" outlineLevel="0" collapsed="false">
      <c r="A174" s="1" t="s">
        <v>280</v>
      </c>
      <c r="B174" s="1" t="s">
        <v>273</v>
      </c>
      <c r="C174" s="1" t="n">
        <v>5010</v>
      </c>
      <c r="D174" s="1" t="s">
        <v>258</v>
      </c>
      <c r="E174" s="1" t="s">
        <v>140</v>
      </c>
      <c r="F174" s="1" t="n">
        <v>90879.73</v>
      </c>
    </row>
    <row r="175" customFormat="false" ht="15" hidden="false" customHeight="true" outlineLevel="0" collapsed="false">
      <c r="A175" s="1" t="s">
        <v>280</v>
      </c>
      <c r="B175" s="1" t="s">
        <v>129</v>
      </c>
      <c r="C175" s="1" t="n">
        <v>5010</v>
      </c>
      <c r="D175" s="1" t="s">
        <v>258</v>
      </c>
      <c r="E175" s="1" t="s">
        <v>140</v>
      </c>
      <c r="F175" s="1" t="n">
        <v>88795.95</v>
      </c>
    </row>
    <row r="176" customFormat="false" ht="15" hidden="false" customHeight="true" outlineLevel="0" collapsed="false">
      <c r="A176" s="1" t="s">
        <v>280</v>
      </c>
      <c r="B176" s="1" t="s">
        <v>274</v>
      </c>
      <c r="C176" s="1" t="n">
        <v>5010</v>
      </c>
      <c r="D176" s="1" t="s">
        <v>258</v>
      </c>
      <c r="E176" s="1" t="s">
        <v>140</v>
      </c>
      <c r="F176" s="1" t="n">
        <v>89813.66</v>
      </c>
    </row>
    <row r="177" customFormat="false" ht="15" hidden="false" customHeight="true" outlineLevel="0" collapsed="false">
      <c r="A177" s="1" t="s">
        <v>280</v>
      </c>
      <c r="B177" s="1" t="s">
        <v>275</v>
      </c>
      <c r="C177" s="1" t="n">
        <v>5010</v>
      </c>
      <c r="D177" s="1" t="s">
        <v>258</v>
      </c>
      <c r="E177" s="1" t="s">
        <v>140</v>
      </c>
      <c r="F177" s="1" t="n">
        <v>91086.27</v>
      </c>
    </row>
    <row r="178" customFormat="false" ht="15" hidden="false" customHeight="true" outlineLevel="0" collapsed="false">
      <c r="A178" s="1" t="s">
        <v>280</v>
      </c>
      <c r="B178" s="1" t="s">
        <v>276</v>
      </c>
      <c r="C178" s="1" t="n">
        <v>5010</v>
      </c>
      <c r="D178" s="1" t="s">
        <v>258</v>
      </c>
      <c r="E178" s="1" t="s">
        <v>140</v>
      </c>
      <c r="F178" s="1" t="n">
        <v>89434.05</v>
      </c>
    </row>
    <row r="179" customFormat="false" ht="15" hidden="false" customHeight="true" outlineLevel="0" collapsed="false">
      <c r="A179" s="1" t="s">
        <v>280</v>
      </c>
      <c r="B179" s="1" t="s">
        <v>277</v>
      </c>
      <c r="C179" s="1" t="n">
        <v>5010</v>
      </c>
      <c r="D179" s="1" t="s">
        <v>258</v>
      </c>
      <c r="E179" s="1" t="s">
        <v>140</v>
      </c>
      <c r="F179" s="1" t="n">
        <v>90300.11</v>
      </c>
    </row>
    <row r="180" customFormat="false" ht="15" hidden="false" customHeight="true" outlineLevel="0" collapsed="false">
      <c r="A180" s="1" t="s">
        <v>280</v>
      </c>
      <c r="B180" s="1" t="s">
        <v>278</v>
      </c>
      <c r="C180" s="1" t="n">
        <v>5010</v>
      </c>
      <c r="D180" s="1" t="s">
        <v>258</v>
      </c>
      <c r="E180" s="1" t="s">
        <v>140</v>
      </c>
      <c r="F180" s="1" t="n">
        <v>92831.45</v>
      </c>
    </row>
    <row r="181" customFormat="false" ht="15" hidden="false" customHeight="true" outlineLevel="0" collapsed="false">
      <c r="A181" s="1" t="s">
        <v>280</v>
      </c>
      <c r="B181" s="1" t="s">
        <v>279</v>
      </c>
      <c r="C181" s="1" t="n">
        <v>5010</v>
      </c>
      <c r="D181" s="1" t="s">
        <v>258</v>
      </c>
      <c r="E181" s="1" t="s">
        <v>140</v>
      </c>
      <c r="F181" s="1" t="n">
        <v>89950.06</v>
      </c>
    </row>
    <row r="182" customFormat="false" ht="15" hidden="false" customHeight="true" outlineLevel="0" collapsed="false">
      <c r="A182" s="1" t="s">
        <v>280</v>
      </c>
      <c r="B182" s="1" t="s">
        <v>252</v>
      </c>
      <c r="C182" s="1" t="n">
        <v>6000</v>
      </c>
      <c r="D182" s="1" t="s">
        <v>259</v>
      </c>
      <c r="E182" s="1" t="s">
        <v>143</v>
      </c>
      <c r="F182" s="1" t="n">
        <v>19385.34</v>
      </c>
    </row>
    <row r="183" customFormat="false" ht="15" hidden="false" customHeight="true" outlineLevel="0" collapsed="false">
      <c r="A183" s="1" t="s">
        <v>280</v>
      </c>
      <c r="B183" s="1" t="s">
        <v>270</v>
      </c>
      <c r="C183" s="1" t="n">
        <v>6000</v>
      </c>
      <c r="D183" s="1" t="s">
        <v>259</v>
      </c>
      <c r="E183" s="1" t="s">
        <v>143</v>
      </c>
      <c r="F183" s="1" t="n">
        <v>18635.87</v>
      </c>
    </row>
    <row r="184" customFormat="false" ht="15" hidden="false" customHeight="true" outlineLevel="0" collapsed="false">
      <c r="A184" s="1" t="s">
        <v>280</v>
      </c>
      <c r="B184" s="1" t="s">
        <v>271</v>
      </c>
      <c r="C184" s="1" t="n">
        <v>6000</v>
      </c>
      <c r="D184" s="1" t="s">
        <v>259</v>
      </c>
      <c r="E184" s="1" t="s">
        <v>143</v>
      </c>
      <c r="F184" s="1" t="n">
        <v>19268.7</v>
      </c>
    </row>
    <row r="185" customFormat="false" ht="15" hidden="false" customHeight="true" outlineLevel="0" collapsed="false">
      <c r="A185" s="1" t="s">
        <v>280</v>
      </c>
      <c r="B185" s="1" t="s">
        <v>272</v>
      </c>
      <c r="C185" s="1" t="n">
        <v>6000</v>
      </c>
      <c r="D185" s="1" t="s">
        <v>259</v>
      </c>
      <c r="E185" s="1" t="s">
        <v>143</v>
      </c>
      <c r="F185" s="1" t="n">
        <v>19616.38</v>
      </c>
    </row>
    <row r="186" customFormat="false" ht="15" hidden="false" customHeight="true" outlineLevel="0" collapsed="false">
      <c r="A186" s="1" t="s">
        <v>280</v>
      </c>
      <c r="B186" s="1" t="s">
        <v>273</v>
      </c>
      <c r="C186" s="1" t="n">
        <v>6000</v>
      </c>
      <c r="D186" s="1" t="s">
        <v>259</v>
      </c>
      <c r="E186" s="1" t="s">
        <v>143</v>
      </c>
      <c r="F186" s="1" t="n">
        <v>18124.15</v>
      </c>
    </row>
    <row r="187" customFormat="false" ht="15" hidden="false" customHeight="true" outlineLevel="0" collapsed="false">
      <c r="A187" s="1" t="s">
        <v>280</v>
      </c>
      <c r="B187" s="1" t="s">
        <v>129</v>
      </c>
      <c r="C187" s="1" t="n">
        <v>6000</v>
      </c>
      <c r="D187" s="1" t="s">
        <v>259</v>
      </c>
      <c r="E187" s="1" t="s">
        <v>143</v>
      </c>
      <c r="F187" s="1" t="n">
        <v>18762.78</v>
      </c>
    </row>
    <row r="188" customFormat="false" ht="15" hidden="false" customHeight="true" outlineLevel="0" collapsed="false">
      <c r="A188" s="1" t="s">
        <v>280</v>
      </c>
      <c r="B188" s="1" t="s">
        <v>274</v>
      </c>
      <c r="C188" s="1" t="n">
        <v>6000</v>
      </c>
      <c r="D188" s="1" t="s">
        <v>259</v>
      </c>
      <c r="E188" s="1" t="s">
        <v>143</v>
      </c>
      <c r="F188" s="1" t="n">
        <v>19286.72</v>
      </c>
    </row>
    <row r="189" customFormat="false" ht="15" hidden="false" customHeight="true" outlineLevel="0" collapsed="false">
      <c r="A189" s="1" t="s">
        <v>280</v>
      </c>
      <c r="B189" s="1" t="s">
        <v>275</v>
      </c>
      <c r="C189" s="1" t="n">
        <v>6000</v>
      </c>
      <c r="D189" s="1" t="s">
        <v>259</v>
      </c>
      <c r="E189" s="1" t="s">
        <v>143</v>
      </c>
      <c r="F189" s="1" t="n">
        <v>18989.24</v>
      </c>
    </row>
    <row r="190" customFormat="false" ht="15" hidden="false" customHeight="true" outlineLevel="0" collapsed="false">
      <c r="A190" s="1" t="s">
        <v>280</v>
      </c>
      <c r="B190" s="1" t="s">
        <v>276</v>
      </c>
      <c r="C190" s="1" t="n">
        <v>6000</v>
      </c>
      <c r="D190" s="1" t="s">
        <v>259</v>
      </c>
      <c r="E190" s="1" t="s">
        <v>143</v>
      </c>
      <c r="F190" s="1" t="n">
        <v>19208.2</v>
      </c>
    </row>
    <row r="191" customFormat="false" ht="15" hidden="false" customHeight="true" outlineLevel="0" collapsed="false">
      <c r="A191" s="1" t="s">
        <v>280</v>
      </c>
      <c r="B191" s="1" t="s">
        <v>277</v>
      </c>
      <c r="C191" s="1" t="n">
        <v>6000</v>
      </c>
      <c r="D191" s="1" t="s">
        <v>259</v>
      </c>
      <c r="E191" s="1" t="s">
        <v>143</v>
      </c>
      <c r="F191" s="1" t="n">
        <v>18836.35</v>
      </c>
    </row>
    <row r="192" customFormat="false" ht="15" hidden="false" customHeight="true" outlineLevel="0" collapsed="false">
      <c r="A192" s="1" t="s">
        <v>280</v>
      </c>
      <c r="B192" s="1" t="s">
        <v>278</v>
      </c>
      <c r="C192" s="1" t="n">
        <v>6000</v>
      </c>
      <c r="D192" s="1" t="s">
        <v>259</v>
      </c>
      <c r="E192" s="1" t="s">
        <v>143</v>
      </c>
      <c r="F192" s="1" t="n">
        <v>19099.69</v>
      </c>
    </row>
    <row r="193" customFormat="false" ht="15" hidden="false" customHeight="true" outlineLevel="0" collapsed="false">
      <c r="A193" s="1" t="s">
        <v>280</v>
      </c>
      <c r="B193" s="1" t="s">
        <v>279</v>
      </c>
      <c r="C193" s="1" t="n">
        <v>6000</v>
      </c>
      <c r="D193" s="1" t="s">
        <v>259</v>
      </c>
      <c r="E193" s="1" t="s">
        <v>143</v>
      </c>
      <c r="F193" s="1" t="n">
        <v>19007.3</v>
      </c>
    </row>
    <row r="194" customFormat="false" ht="15" hidden="false" customHeight="true" outlineLevel="0" collapsed="false">
      <c r="A194" s="1" t="s">
        <v>280</v>
      </c>
      <c r="B194" s="1" t="s">
        <v>252</v>
      </c>
      <c r="C194" s="1" t="n">
        <v>6010</v>
      </c>
      <c r="D194" s="1" t="s">
        <v>261</v>
      </c>
      <c r="E194" s="1" t="s">
        <v>143</v>
      </c>
      <c r="F194" s="1" t="n">
        <v>19511.98</v>
      </c>
    </row>
    <row r="195" customFormat="false" ht="15" hidden="false" customHeight="true" outlineLevel="0" collapsed="false">
      <c r="A195" s="1" t="s">
        <v>280</v>
      </c>
      <c r="B195" s="1" t="s">
        <v>270</v>
      </c>
      <c r="C195" s="1" t="n">
        <v>6010</v>
      </c>
      <c r="D195" s="1" t="s">
        <v>261</v>
      </c>
      <c r="E195" s="1" t="s">
        <v>143</v>
      </c>
      <c r="F195" s="1" t="n">
        <v>19163.69</v>
      </c>
    </row>
    <row r="196" customFormat="false" ht="15" hidden="false" customHeight="true" outlineLevel="0" collapsed="false">
      <c r="A196" s="1" t="s">
        <v>280</v>
      </c>
      <c r="B196" s="1" t="s">
        <v>271</v>
      </c>
      <c r="C196" s="1" t="n">
        <v>6010</v>
      </c>
      <c r="D196" s="1" t="s">
        <v>261</v>
      </c>
      <c r="E196" s="1" t="s">
        <v>143</v>
      </c>
      <c r="F196" s="1" t="n">
        <v>19195.41</v>
      </c>
    </row>
    <row r="197" customFormat="false" ht="15" hidden="false" customHeight="true" outlineLevel="0" collapsed="false">
      <c r="A197" s="1" t="s">
        <v>280</v>
      </c>
      <c r="B197" s="1" t="s">
        <v>272</v>
      </c>
      <c r="C197" s="1" t="n">
        <v>6010</v>
      </c>
      <c r="D197" s="1" t="s">
        <v>261</v>
      </c>
      <c r="E197" s="1" t="s">
        <v>143</v>
      </c>
      <c r="F197" s="1" t="n">
        <v>18909.6</v>
      </c>
    </row>
    <row r="198" customFormat="false" ht="15" hidden="false" customHeight="true" outlineLevel="0" collapsed="false">
      <c r="A198" s="1" t="s">
        <v>280</v>
      </c>
      <c r="B198" s="1" t="s">
        <v>273</v>
      </c>
      <c r="C198" s="1" t="n">
        <v>6010</v>
      </c>
      <c r="D198" s="1" t="s">
        <v>261</v>
      </c>
      <c r="E198" s="1" t="s">
        <v>143</v>
      </c>
      <c r="F198" s="1" t="n">
        <v>18880.73</v>
      </c>
    </row>
    <row r="199" customFormat="false" ht="15" hidden="false" customHeight="true" outlineLevel="0" collapsed="false">
      <c r="A199" s="1" t="s">
        <v>280</v>
      </c>
      <c r="B199" s="1" t="s">
        <v>129</v>
      </c>
      <c r="C199" s="1" t="n">
        <v>6010</v>
      </c>
      <c r="D199" s="1" t="s">
        <v>261</v>
      </c>
      <c r="E199" s="1" t="s">
        <v>143</v>
      </c>
      <c r="F199" s="1" t="n">
        <v>18901.72</v>
      </c>
    </row>
    <row r="200" customFormat="false" ht="15" hidden="false" customHeight="true" outlineLevel="0" collapsed="false">
      <c r="A200" s="1" t="s">
        <v>280</v>
      </c>
      <c r="B200" s="1" t="s">
        <v>274</v>
      </c>
      <c r="C200" s="1" t="n">
        <v>6010</v>
      </c>
      <c r="D200" s="1" t="s">
        <v>261</v>
      </c>
      <c r="E200" s="1" t="s">
        <v>143</v>
      </c>
      <c r="F200" s="1" t="n">
        <v>19217.08</v>
      </c>
    </row>
    <row r="201" customFormat="false" ht="15" hidden="false" customHeight="true" outlineLevel="0" collapsed="false">
      <c r="A201" s="1" t="s">
        <v>280</v>
      </c>
      <c r="B201" s="1" t="s">
        <v>275</v>
      </c>
      <c r="C201" s="1" t="n">
        <v>6010</v>
      </c>
      <c r="D201" s="1" t="s">
        <v>261</v>
      </c>
      <c r="E201" s="1" t="s">
        <v>143</v>
      </c>
      <c r="F201" s="1" t="n">
        <v>18906.13</v>
      </c>
    </row>
    <row r="202" customFormat="false" ht="15" hidden="false" customHeight="true" outlineLevel="0" collapsed="false">
      <c r="A202" s="1" t="s">
        <v>280</v>
      </c>
      <c r="B202" s="1" t="s">
        <v>276</v>
      </c>
      <c r="C202" s="1" t="n">
        <v>6010</v>
      </c>
      <c r="D202" s="1" t="s">
        <v>261</v>
      </c>
      <c r="E202" s="1" t="s">
        <v>143</v>
      </c>
      <c r="F202" s="1" t="n">
        <v>19177.17</v>
      </c>
    </row>
    <row r="203" customFormat="false" ht="15" hidden="false" customHeight="true" outlineLevel="0" collapsed="false">
      <c r="A203" s="1" t="s">
        <v>280</v>
      </c>
      <c r="B203" s="1" t="s">
        <v>277</v>
      </c>
      <c r="C203" s="1" t="n">
        <v>6010</v>
      </c>
      <c r="D203" s="1" t="s">
        <v>261</v>
      </c>
      <c r="E203" s="1" t="s">
        <v>143</v>
      </c>
      <c r="F203" s="1" t="n">
        <v>19858.09</v>
      </c>
    </row>
    <row r="204" customFormat="false" ht="15" hidden="false" customHeight="true" outlineLevel="0" collapsed="false">
      <c r="A204" s="1" t="s">
        <v>280</v>
      </c>
      <c r="B204" s="1" t="s">
        <v>278</v>
      </c>
      <c r="C204" s="1" t="n">
        <v>6010</v>
      </c>
      <c r="D204" s="1" t="s">
        <v>261</v>
      </c>
      <c r="E204" s="1" t="s">
        <v>143</v>
      </c>
      <c r="F204" s="1" t="n">
        <v>19398.86</v>
      </c>
    </row>
    <row r="205" customFormat="false" ht="15" hidden="false" customHeight="true" outlineLevel="0" collapsed="false">
      <c r="A205" s="1" t="s">
        <v>280</v>
      </c>
      <c r="B205" s="1" t="s">
        <v>279</v>
      </c>
      <c r="C205" s="1" t="n">
        <v>6010</v>
      </c>
      <c r="D205" s="1" t="s">
        <v>261</v>
      </c>
      <c r="E205" s="1" t="s">
        <v>143</v>
      </c>
      <c r="F205" s="1" t="n">
        <v>18942.34</v>
      </c>
    </row>
    <row r="206" customFormat="false" ht="15" hidden="false" customHeight="true" outlineLevel="0" collapsed="false">
      <c r="A206" s="1" t="s">
        <v>280</v>
      </c>
      <c r="B206" s="1" t="s">
        <v>252</v>
      </c>
      <c r="C206" s="1" t="n">
        <v>6020</v>
      </c>
      <c r="D206" s="1" t="s">
        <v>263</v>
      </c>
      <c r="E206" s="1" t="s">
        <v>143</v>
      </c>
      <c r="F206" s="1" t="n">
        <v>19524.73</v>
      </c>
    </row>
    <row r="207" customFormat="false" ht="15" hidden="false" customHeight="true" outlineLevel="0" collapsed="false">
      <c r="A207" s="1" t="s">
        <v>280</v>
      </c>
      <c r="B207" s="1" t="s">
        <v>270</v>
      </c>
      <c r="C207" s="1" t="n">
        <v>6020</v>
      </c>
      <c r="D207" s="1" t="s">
        <v>263</v>
      </c>
      <c r="E207" s="1" t="s">
        <v>143</v>
      </c>
      <c r="F207" s="1" t="n">
        <v>18911.05</v>
      </c>
    </row>
    <row r="208" customFormat="false" ht="15" hidden="false" customHeight="true" outlineLevel="0" collapsed="false">
      <c r="A208" s="1" t="s">
        <v>280</v>
      </c>
      <c r="B208" s="1" t="s">
        <v>271</v>
      </c>
      <c r="C208" s="1" t="n">
        <v>6020</v>
      </c>
      <c r="D208" s="1" t="s">
        <v>263</v>
      </c>
      <c r="E208" s="1" t="s">
        <v>143</v>
      </c>
      <c r="F208" s="1" t="n">
        <v>18289.46</v>
      </c>
    </row>
    <row r="209" customFormat="false" ht="15" hidden="false" customHeight="true" outlineLevel="0" collapsed="false">
      <c r="A209" s="1" t="s">
        <v>280</v>
      </c>
      <c r="B209" s="1" t="s">
        <v>272</v>
      </c>
      <c r="C209" s="1" t="n">
        <v>6020</v>
      </c>
      <c r="D209" s="1" t="s">
        <v>263</v>
      </c>
      <c r="E209" s="1" t="s">
        <v>143</v>
      </c>
      <c r="F209" s="1" t="n">
        <v>18682.25</v>
      </c>
    </row>
    <row r="210" customFormat="false" ht="15" hidden="false" customHeight="true" outlineLevel="0" collapsed="false">
      <c r="A210" s="1" t="s">
        <v>280</v>
      </c>
      <c r="B210" s="1" t="s">
        <v>273</v>
      </c>
      <c r="C210" s="1" t="n">
        <v>6020</v>
      </c>
      <c r="D210" s="1" t="s">
        <v>263</v>
      </c>
      <c r="E210" s="1" t="s">
        <v>143</v>
      </c>
      <c r="F210" s="1" t="n">
        <v>18353.27</v>
      </c>
    </row>
    <row r="211" customFormat="false" ht="15" hidden="false" customHeight="true" outlineLevel="0" collapsed="false">
      <c r="A211" s="1" t="s">
        <v>280</v>
      </c>
      <c r="B211" s="1" t="s">
        <v>129</v>
      </c>
      <c r="C211" s="1" t="n">
        <v>6020</v>
      </c>
      <c r="D211" s="1" t="s">
        <v>263</v>
      </c>
      <c r="E211" s="1" t="s">
        <v>143</v>
      </c>
      <c r="F211" s="1" t="n">
        <v>18932.62</v>
      </c>
    </row>
    <row r="212" customFormat="false" ht="15" hidden="false" customHeight="true" outlineLevel="0" collapsed="false">
      <c r="A212" s="1" t="s">
        <v>280</v>
      </c>
      <c r="B212" s="1" t="s">
        <v>274</v>
      </c>
      <c r="C212" s="1" t="n">
        <v>6020</v>
      </c>
      <c r="D212" s="1" t="s">
        <v>263</v>
      </c>
      <c r="E212" s="1" t="s">
        <v>143</v>
      </c>
      <c r="F212" s="1" t="n">
        <v>19073.69</v>
      </c>
    </row>
    <row r="213" customFormat="false" ht="15" hidden="false" customHeight="true" outlineLevel="0" collapsed="false">
      <c r="A213" s="1" t="s">
        <v>280</v>
      </c>
      <c r="B213" s="1" t="s">
        <v>275</v>
      </c>
      <c r="C213" s="1" t="n">
        <v>6020</v>
      </c>
      <c r="D213" s="1" t="s">
        <v>263</v>
      </c>
      <c r="E213" s="1" t="s">
        <v>143</v>
      </c>
      <c r="F213" s="1" t="n">
        <v>19705.95</v>
      </c>
    </row>
    <row r="214" customFormat="false" ht="15" hidden="false" customHeight="true" outlineLevel="0" collapsed="false">
      <c r="A214" s="1" t="s">
        <v>280</v>
      </c>
      <c r="B214" s="1" t="s">
        <v>276</v>
      </c>
      <c r="C214" s="1" t="n">
        <v>6020</v>
      </c>
      <c r="D214" s="1" t="s">
        <v>263</v>
      </c>
      <c r="E214" s="1" t="s">
        <v>143</v>
      </c>
      <c r="F214" s="1" t="n">
        <v>19191.33</v>
      </c>
    </row>
    <row r="215" customFormat="false" ht="15" hidden="false" customHeight="true" outlineLevel="0" collapsed="false">
      <c r="A215" s="1" t="s">
        <v>280</v>
      </c>
      <c r="B215" s="1" t="s">
        <v>277</v>
      </c>
      <c r="C215" s="1" t="n">
        <v>6020</v>
      </c>
      <c r="D215" s="1" t="s">
        <v>263</v>
      </c>
      <c r="E215" s="1" t="s">
        <v>143</v>
      </c>
      <c r="F215" s="1" t="n">
        <v>18983.12</v>
      </c>
    </row>
    <row r="216" customFormat="false" ht="15" hidden="false" customHeight="true" outlineLevel="0" collapsed="false">
      <c r="A216" s="1" t="s">
        <v>280</v>
      </c>
      <c r="B216" s="1" t="s">
        <v>278</v>
      </c>
      <c r="C216" s="1" t="n">
        <v>6020</v>
      </c>
      <c r="D216" s="1" t="s">
        <v>263</v>
      </c>
      <c r="E216" s="1" t="s">
        <v>143</v>
      </c>
      <c r="F216" s="1" t="n">
        <v>19382.95</v>
      </c>
    </row>
    <row r="217" customFormat="false" ht="15" hidden="false" customHeight="true" outlineLevel="0" collapsed="false">
      <c r="A217" s="1" t="s">
        <v>280</v>
      </c>
      <c r="B217" s="1" t="s">
        <v>279</v>
      </c>
      <c r="C217" s="1" t="n">
        <v>6020</v>
      </c>
      <c r="D217" s="1" t="s">
        <v>263</v>
      </c>
      <c r="E217" s="1" t="s">
        <v>143</v>
      </c>
      <c r="F217" s="1" t="n">
        <v>18223.49</v>
      </c>
    </row>
    <row r="218" customFormat="false" ht="15" hidden="false" customHeight="true" outlineLevel="0" collapsed="false">
      <c r="A218" s="1" t="s">
        <v>280</v>
      </c>
      <c r="B218" s="1" t="s">
        <v>252</v>
      </c>
      <c r="C218" s="1" t="n">
        <v>6030</v>
      </c>
      <c r="D218" s="1" t="s">
        <v>265</v>
      </c>
      <c r="E218" s="1" t="s">
        <v>143</v>
      </c>
      <c r="F218" s="1" t="n">
        <v>19156.51</v>
      </c>
    </row>
    <row r="219" customFormat="false" ht="15" hidden="false" customHeight="true" outlineLevel="0" collapsed="false">
      <c r="A219" s="1" t="s">
        <v>280</v>
      </c>
      <c r="B219" s="1" t="s">
        <v>270</v>
      </c>
      <c r="C219" s="1" t="n">
        <v>6030</v>
      </c>
      <c r="D219" s="1" t="s">
        <v>265</v>
      </c>
      <c r="E219" s="1" t="s">
        <v>143</v>
      </c>
      <c r="F219" s="1" t="n">
        <v>19360.62</v>
      </c>
    </row>
    <row r="220" customFormat="false" ht="15" hidden="false" customHeight="true" outlineLevel="0" collapsed="false">
      <c r="A220" s="1" t="s">
        <v>280</v>
      </c>
      <c r="B220" s="1" t="s">
        <v>271</v>
      </c>
      <c r="C220" s="1" t="n">
        <v>6030</v>
      </c>
      <c r="D220" s="1" t="s">
        <v>265</v>
      </c>
      <c r="E220" s="1" t="s">
        <v>143</v>
      </c>
      <c r="F220" s="1" t="n">
        <v>18502.83</v>
      </c>
    </row>
    <row r="221" customFormat="false" ht="15" hidden="false" customHeight="true" outlineLevel="0" collapsed="false">
      <c r="A221" s="1" t="s">
        <v>280</v>
      </c>
      <c r="B221" s="1" t="s">
        <v>272</v>
      </c>
      <c r="C221" s="1" t="n">
        <v>6030</v>
      </c>
      <c r="D221" s="1" t="s">
        <v>265</v>
      </c>
      <c r="E221" s="1" t="s">
        <v>143</v>
      </c>
      <c r="F221" s="1" t="n">
        <v>19502.82</v>
      </c>
    </row>
    <row r="222" customFormat="false" ht="15" hidden="false" customHeight="true" outlineLevel="0" collapsed="false">
      <c r="A222" s="1" t="s">
        <v>280</v>
      </c>
      <c r="B222" s="1" t="s">
        <v>273</v>
      </c>
      <c r="C222" s="1" t="n">
        <v>6030</v>
      </c>
      <c r="D222" s="1" t="s">
        <v>265</v>
      </c>
      <c r="E222" s="1" t="s">
        <v>143</v>
      </c>
      <c r="F222" s="1" t="n">
        <v>19195.75</v>
      </c>
    </row>
    <row r="223" customFormat="false" ht="15" hidden="false" customHeight="true" outlineLevel="0" collapsed="false">
      <c r="A223" s="1" t="s">
        <v>280</v>
      </c>
      <c r="B223" s="1" t="s">
        <v>129</v>
      </c>
      <c r="C223" s="1" t="n">
        <v>6030</v>
      </c>
      <c r="D223" s="1" t="s">
        <v>265</v>
      </c>
      <c r="E223" s="1" t="s">
        <v>143</v>
      </c>
      <c r="F223" s="1" t="n">
        <v>18908.3</v>
      </c>
    </row>
    <row r="224" customFormat="false" ht="15" hidden="false" customHeight="true" outlineLevel="0" collapsed="false">
      <c r="A224" s="1" t="s">
        <v>280</v>
      </c>
      <c r="B224" s="1" t="s">
        <v>274</v>
      </c>
      <c r="C224" s="1" t="n">
        <v>6030</v>
      </c>
      <c r="D224" s="1" t="s">
        <v>265</v>
      </c>
      <c r="E224" s="1" t="s">
        <v>143</v>
      </c>
      <c r="F224" s="1" t="n">
        <v>19307.97</v>
      </c>
    </row>
    <row r="225" customFormat="false" ht="15" hidden="false" customHeight="true" outlineLevel="0" collapsed="false">
      <c r="A225" s="1" t="s">
        <v>280</v>
      </c>
      <c r="B225" s="1" t="s">
        <v>275</v>
      </c>
      <c r="C225" s="1" t="n">
        <v>6030</v>
      </c>
      <c r="D225" s="1" t="s">
        <v>265</v>
      </c>
      <c r="E225" s="1" t="s">
        <v>143</v>
      </c>
      <c r="F225" s="1" t="n">
        <v>19932.56</v>
      </c>
    </row>
    <row r="226" customFormat="false" ht="15" hidden="false" customHeight="true" outlineLevel="0" collapsed="false">
      <c r="A226" s="1" t="s">
        <v>280</v>
      </c>
      <c r="B226" s="1" t="s">
        <v>276</v>
      </c>
      <c r="C226" s="1" t="n">
        <v>6030</v>
      </c>
      <c r="D226" s="1" t="s">
        <v>265</v>
      </c>
      <c r="E226" s="1" t="s">
        <v>143</v>
      </c>
      <c r="F226" s="1" t="n">
        <v>19136.02</v>
      </c>
    </row>
    <row r="227" customFormat="false" ht="15" hidden="false" customHeight="true" outlineLevel="0" collapsed="false">
      <c r="A227" s="1" t="s">
        <v>280</v>
      </c>
      <c r="B227" s="1" t="s">
        <v>277</v>
      </c>
      <c r="C227" s="1" t="n">
        <v>6030</v>
      </c>
      <c r="D227" s="1" t="s">
        <v>265</v>
      </c>
      <c r="E227" s="1" t="s">
        <v>143</v>
      </c>
      <c r="F227" s="1" t="n">
        <v>19161.32</v>
      </c>
    </row>
    <row r="228" customFormat="false" ht="15" hidden="false" customHeight="true" outlineLevel="0" collapsed="false">
      <c r="A228" s="1" t="s">
        <v>280</v>
      </c>
      <c r="B228" s="1" t="s">
        <v>278</v>
      </c>
      <c r="C228" s="1" t="n">
        <v>6030</v>
      </c>
      <c r="D228" s="1" t="s">
        <v>265</v>
      </c>
      <c r="E228" s="1" t="s">
        <v>143</v>
      </c>
      <c r="F228" s="1" t="n">
        <v>18891.5</v>
      </c>
    </row>
    <row r="229" customFormat="false" ht="15" hidden="false" customHeight="true" outlineLevel="0" collapsed="false">
      <c r="A229" s="1" t="s">
        <v>280</v>
      </c>
      <c r="B229" s="1" t="s">
        <v>279</v>
      </c>
      <c r="C229" s="1" t="n">
        <v>6030</v>
      </c>
      <c r="D229" s="1" t="s">
        <v>265</v>
      </c>
      <c r="E229" s="1" t="s">
        <v>143</v>
      </c>
      <c r="F229" s="1" t="n">
        <v>18742.59</v>
      </c>
    </row>
    <row r="230" customFormat="false" ht="15" hidden="false" customHeight="true" outlineLevel="0" collapsed="false">
      <c r="A230" s="1" t="s">
        <v>280</v>
      </c>
      <c r="B230" s="1" t="s">
        <v>252</v>
      </c>
      <c r="C230" s="1" t="n">
        <v>6040</v>
      </c>
      <c r="D230" s="1" t="s">
        <v>266</v>
      </c>
      <c r="E230" s="1" t="s">
        <v>143</v>
      </c>
      <c r="F230" s="1" t="n">
        <v>19383.3</v>
      </c>
    </row>
    <row r="231" customFormat="false" ht="15" hidden="false" customHeight="true" outlineLevel="0" collapsed="false">
      <c r="A231" s="1" t="s">
        <v>280</v>
      </c>
      <c r="B231" s="1" t="s">
        <v>270</v>
      </c>
      <c r="C231" s="1" t="n">
        <v>6040</v>
      </c>
      <c r="D231" s="1" t="s">
        <v>266</v>
      </c>
      <c r="E231" s="1" t="s">
        <v>143</v>
      </c>
      <c r="F231" s="1" t="n">
        <v>18740.21</v>
      </c>
    </row>
    <row r="232" customFormat="false" ht="15" hidden="false" customHeight="true" outlineLevel="0" collapsed="false">
      <c r="A232" s="1" t="s">
        <v>280</v>
      </c>
      <c r="B232" s="1" t="s">
        <v>271</v>
      </c>
      <c r="C232" s="1" t="n">
        <v>6040</v>
      </c>
      <c r="D232" s="1" t="s">
        <v>266</v>
      </c>
      <c r="E232" s="1" t="s">
        <v>143</v>
      </c>
      <c r="F232" s="1" t="n">
        <v>19093.96</v>
      </c>
    </row>
    <row r="233" customFormat="false" ht="15" hidden="false" customHeight="true" outlineLevel="0" collapsed="false">
      <c r="A233" s="1" t="s">
        <v>280</v>
      </c>
      <c r="B233" s="1" t="s">
        <v>272</v>
      </c>
      <c r="C233" s="1" t="n">
        <v>6040</v>
      </c>
      <c r="D233" s="1" t="s">
        <v>266</v>
      </c>
      <c r="E233" s="1" t="s">
        <v>143</v>
      </c>
      <c r="F233" s="1" t="n">
        <v>18884.52</v>
      </c>
    </row>
    <row r="234" customFormat="false" ht="15" hidden="false" customHeight="true" outlineLevel="0" collapsed="false">
      <c r="A234" s="1" t="s">
        <v>280</v>
      </c>
      <c r="B234" s="1" t="s">
        <v>273</v>
      </c>
      <c r="C234" s="1" t="n">
        <v>6040</v>
      </c>
      <c r="D234" s="1" t="s">
        <v>266</v>
      </c>
      <c r="E234" s="1" t="s">
        <v>143</v>
      </c>
      <c r="F234" s="1" t="n">
        <v>19249.32</v>
      </c>
    </row>
    <row r="235" customFormat="false" ht="15" hidden="false" customHeight="true" outlineLevel="0" collapsed="false">
      <c r="A235" s="1" t="s">
        <v>280</v>
      </c>
      <c r="B235" s="1" t="s">
        <v>129</v>
      </c>
      <c r="C235" s="1" t="n">
        <v>6040</v>
      </c>
      <c r="D235" s="1" t="s">
        <v>266</v>
      </c>
      <c r="E235" s="1" t="s">
        <v>143</v>
      </c>
      <c r="F235" s="1" t="n">
        <v>19193.9</v>
      </c>
    </row>
    <row r="236" customFormat="false" ht="15" hidden="false" customHeight="true" outlineLevel="0" collapsed="false">
      <c r="A236" s="1" t="s">
        <v>280</v>
      </c>
      <c r="B236" s="1" t="s">
        <v>274</v>
      </c>
      <c r="C236" s="1" t="n">
        <v>6040</v>
      </c>
      <c r="D236" s="1" t="s">
        <v>266</v>
      </c>
      <c r="E236" s="1" t="s">
        <v>143</v>
      </c>
      <c r="F236" s="1" t="n">
        <v>19462.32</v>
      </c>
    </row>
    <row r="237" customFormat="false" ht="15" hidden="false" customHeight="true" outlineLevel="0" collapsed="false">
      <c r="A237" s="1" t="s">
        <v>280</v>
      </c>
      <c r="B237" s="1" t="s">
        <v>275</v>
      </c>
      <c r="C237" s="1" t="n">
        <v>6040</v>
      </c>
      <c r="D237" s="1" t="s">
        <v>266</v>
      </c>
      <c r="E237" s="1" t="s">
        <v>143</v>
      </c>
      <c r="F237" s="1" t="n">
        <v>18872.18</v>
      </c>
    </row>
    <row r="238" customFormat="false" ht="15" hidden="false" customHeight="true" outlineLevel="0" collapsed="false">
      <c r="A238" s="1" t="s">
        <v>280</v>
      </c>
      <c r="B238" s="1" t="s">
        <v>276</v>
      </c>
      <c r="C238" s="1" t="n">
        <v>6040</v>
      </c>
      <c r="D238" s="1" t="s">
        <v>266</v>
      </c>
      <c r="E238" s="1" t="s">
        <v>143</v>
      </c>
      <c r="F238" s="1" t="n">
        <v>18963.75</v>
      </c>
    </row>
    <row r="239" customFormat="false" ht="15" hidden="false" customHeight="true" outlineLevel="0" collapsed="false">
      <c r="A239" s="1" t="s">
        <v>280</v>
      </c>
      <c r="B239" s="1" t="s">
        <v>277</v>
      </c>
      <c r="C239" s="1" t="n">
        <v>6040</v>
      </c>
      <c r="D239" s="1" t="s">
        <v>266</v>
      </c>
      <c r="E239" s="1" t="s">
        <v>143</v>
      </c>
      <c r="F239" s="1" t="n">
        <v>18693.43</v>
      </c>
    </row>
    <row r="240" customFormat="false" ht="15" hidden="false" customHeight="true" outlineLevel="0" collapsed="false">
      <c r="A240" s="1" t="s">
        <v>280</v>
      </c>
      <c r="B240" s="1" t="s">
        <v>278</v>
      </c>
      <c r="C240" s="1" t="n">
        <v>6040</v>
      </c>
      <c r="D240" s="1" t="s">
        <v>266</v>
      </c>
      <c r="E240" s="1" t="s">
        <v>143</v>
      </c>
      <c r="F240" s="1" t="n">
        <v>18897.24</v>
      </c>
    </row>
    <row r="241" customFormat="false" ht="15" hidden="false" customHeight="true" outlineLevel="0" collapsed="false">
      <c r="A241" s="1" t="s">
        <v>280</v>
      </c>
      <c r="B241" s="1" t="s">
        <v>279</v>
      </c>
      <c r="C241" s="1" t="n">
        <v>6040</v>
      </c>
      <c r="D241" s="1" t="s">
        <v>266</v>
      </c>
      <c r="E241" s="1" t="s">
        <v>143</v>
      </c>
      <c r="F241" s="1" t="n">
        <v>19210.54</v>
      </c>
    </row>
    <row r="242" customFormat="false" ht="15" hidden="false" customHeight="true" outlineLevel="0" collapsed="false">
      <c r="A242" s="1" t="s">
        <v>280</v>
      </c>
      <c r="B242" s="1" t="s">
        <v>252</v>
      </c>
      <c r="C242" s="1" t="n">
        <v>7000</v>
      </c>
      <c r="D242" s="1" t="s">
        <v>267</v>
      </c>
      <c r="E242" s="1" t="s">
        <v>143</v>
      </c>
      <c r="F242" s="1" t="n">
        <v>19355.33</v>
      </c>
    </row>
    <row r="243" customFormat="false" ht="15" hidden="false" customHeight="true" outlineLevel="0" collapsed="false">
      <c r="A243" s="1" t="s">
        <v>280</v>
      </c>
      <c r="B243" s="1" t="s">
        <v>270</v>
      </c>
      <c r="C243" s="1" t="n">
        <v>7000</v>
      </c>
      <c r="D243" s="1" t="s">
        <v>267</v>
      </c>
      <c r="E243" s="1" t="s">
        <v>143</v>
      </c>
      <c r="F243" s="1" t="n">
        <v>18715.01</v>
      </c>
    </row>
    <row r="244" customFormat="false" ht="15" hidden="false" customHeight="true" outlineLevel="0" collapsed="false">
      <c r="A244" s="1" t="s">
        <v>280</v>
      </c>
      <c r="B244" s="1" t="s">
        <v>271</v>
      </c>
      <c r="C244" s="1" t="n">
        <v>7000</v>
      </c>
      <c r="D244" s="1" t="s">
        <v>267</v>
      </c>
      <c r="E244" s="1" t="s">
        <v>143</v>
      </c>
      <c r="F244" s="1" t="n">
        <v>19398.28</v>
      </c>
    </row>
    <row r="245" customFormat="false" ht="15" hidden="false" customHeight="true" outlineLevel="0" collapsed="false">
      <c r="A245" s="1" t="s">
        <v>280</v>
      </c>
      <c r="B245" s="1" t="s">
        <v>272</v>
      </c>
      <c r="C245" s="1" t="n">
        <v>7000</v>
      </c>
      <c r="D245" s="1" t="s">
        <v>267</v>
      </c>
      <c r="E245" s="1" t="s">
        <v>143</v>
      </c>
      <c r="F245" s="1" t="n">
        <v>19583.62</v>
      </c>
    </row>
    <row r="246" customFormat="false" ht="15" hidden="false" customHeight="true" outlineLevel="0" collapsed="false">
      <c r="A246" s="1" t="s">
        <v>280</v>
      </c>
      <c r="B246" s="1" t="s">
        <v>273</v>
      </c>
      <c r="C246" s="1" t="n">
        <v>7000</v>
      </c>
      <c r="D246" s="1" t="s">
        <v>267</v>
      </c>
      <c r="E246" s="1" t="s">
        <v>143</v>
      </c>
      <c r="F246" s="1" t="n">
        <v>19224.32</v>
      </c>
    </row>
    <row r="247" customFormat="false" ht="15" hidden="false" customHeight="true" outlineLevel="0" collapsed="false">
      <c r="A247" s="1" t="s">
        <v>280</v>
      </c>
      <c r="B247" s="1" t="s">
        <v>129</v>
      </c>
      <c r="C247" s="1" t="n">
        <v>7000</v>
      </c>
      <c r="D247" s="1" t="s">
        <v>267</v>
      </c>
      <c r="E247" s="1" t="s">
        <v>143</v>
      </c>
      <c r="F247" s="1" t="n">
        <v>19782.35</v>
      </c>
    </row>
    <row r="248" customFormat="false" ht="15" hidden="false" customHeight="true" outlineLevel="0" collapsed="false">
      <c r="A248" s="1" t="s">
        <v>280</v>
      </c>
      <c r="B248" s="1" t="s">
        <v>274</v>
      </c>
      <c r="C248" s="1" t="n">
        <v>7000</v>
      </c>
      <c r="D248" s="1" t="s">
        <v>267</v>
      </c>
      <c r="E248" s="1" t="s">
        <v>143</v>
      </c>
      <c r="F248" s="1" t="n">
        <v>18771.6</v>
      </c>
    </row>
    <row r="249" customFormat="false" ht="15" hidden="false" customHeight="true" outlineLevel="0" collapsed="false">
      <c r="A249" s="1" t="s">
        <v>280</v>
      </c>
      <c r="B249" s="1" t="s">
        <v>275</v>
      </c>
      <c r="C249" s="1" t="n">
        <v>7000</v>
      </c>
      <c r="D249" s="1" t="s">
        <v>267</v>
      </c>
      <c r="E249" s="1" t="s">
        <v>143</v>
      </c>
      <c r="F249" s="1" t="n">
        <v>18592.04</v>
      </c>
    </row>
    <row r="250" customFormat="false" ht="15" hidden="false" customHeight="true" outlineLevel="0" collapsed="false">
      <c r="A250" s="1" t="s">
        <v>280</v>
      </c>
      <c r="B250" s="1" t="s">
        <v>276</v>
      </c>
      <c r="C250" s="1" t="n">
        <v>7000</v>
      </c>
      <c r="D250" s="1" t="s">
        <v>267</v>
      </c>
      <c r="E250" s="1" t="s">
        <v>143</v>
      </c>
      <c r="F250" s="1" t="n">
        <v>18388.38</v>
      </c>
    </row>
    <row r="251" customFormat="false" ht="15" hidden="false" customHeight="true" outlineLevel="0" collapsed="false">
      <c r="A251" s="1" t="s">
        <v>280</v>
      </c>
      <c r="B251" s="1" t="s">
        <v>277</v>
      </c>
      <c r="C251" s="1" t="n">
        <v>7000</v>
      </c>
      <c r="D251" s="1" t="s">
        <v>267</v>
      </c>
      <c r="E251" s="1" t="s">
        <v>143</v>
      </c>
      <c r="F251" s="1" t="n">
        <v>19637.16</v>
      </c>
    </row>
    <row r="252" customFormat="false" ht="15" hidden="false" customHeight="true" outlineLevel="0" collapsed="false">
      <c r="A252" s="1" t="s">
        <v>280</v>
      </c>
      <c r="B252" s="1" t="s">
        <v>278</v>
      </c>
      <c r="C252" s="1" t="n">
        <v>7000</v>
      </c>
      <c r="D252" s="1" t="s">
        <v>267</v>
      </c>
      <c r="E252" s="1" t="s">
        <v>143</v>
      </c>
      <c r="F252" s="1" t="n">
        <v>19316.2</v>
      </c>
    </row>
    <row r="253" customFormat="false" ht="15" hidden="false" customHeight="true" outlineLevel="0" collapsed="false">
      <c r="A253" s="1" t="s">
        <v>280</v>
      </c>
      <c r="B253" s="1" t="s">
        <v>279</v>
      </c>
      <c r="C253" s="1" t="n">
        <v>7000</v>
      </c>
      <c r="D253" s="1" t="s">
        <v>267</v>
      </c>
      <c r="E253" s="1" t="s">
        <v>143</v>
      </c>
      <c r="F253" s="1" t="n">
        <v>19045.47</v>
      </c>
    </row>
    <row r="254" customFormat="false" ht="15" hidden="false" customHeight="true" outlineLevel="0" collapsed="false">
      <c r="A254" s="1" t="s">
        <v>280</v>
      </c>
      <c r="B254" s="1" t="s">
        <v>252</v>
      </c>
      <c r="C254" s="1" t="n">
        <v>8000</v>
      </c>
      <c r="D254" s="1" t="s">
        <v>268</v>
      </c>
      <c r="E254" s="1" t="s">
        <v>269</v>
      </c>
      <c r="F254" s="1" t="n">
        <v>2614.56</v>
      </c>
    </row>
    <row r="255" customFormat="false" ht="15" hidden="false" customHeight="true" outlineLevel="0" collapsed="false">
      <c r="A255" s="1" t="s">
        <v>280</v>
      </c>
      <c r="B255" s="1" t="s">
        <v>270</v>
      </c>
      <c r="C255" s="1" t="n">
        <v>8000</v>
      </c>
      <c r="D255" s="1" t="s">
        <v>268</v>
      </c>
      <c r="E255" s="1" t="s">
        <v>269</v>
      </c>
      <c r="F255" s="1" t="n">
        <v>2541.47</v>
      </c>
    </row>
    <row r="256" customFormat="false" ht="15" hidden="false" customHeight="true" outlineLevel="0" collapsed="false">
      <c r="A256" s="1" t="s">
        <v>280</v>
      </c>
      <c r="B256" s="1" t="s">
        <v>271</v>
      </c>
      <c r="C256" s="1" t="n">
        <v>8000</v>
      </c>
      <c r="D256" s="1" t="s">
        <v>268</v>
      </c>
      <c r="E256" s="1" t="s">
        <v>269</v>
      </c>
      <c r="F256" s="1" t="n">
        <v>2727.18</v>
      </c>
    </row>
    <row r="257" customFormat="false" ht="15" hidden="false" customHeight="true" outlineLevel="0" collapsed="false">
      <c r="A257" s="1" t="s">
        <v>280</v>
      </c>
      <c r="B257" s="1" t="s">
        <v>272</v>
      </c>
      <c r="C257" s="1" t="n">
        <v>8000</v>
      </c>
      <c r="D257" s="1" t="s">
        <v>268</v>
      </c>
      <c r="E257" s="1" t="s">
        <v>269</v>
      </c>
      <c r="F257" s="1" t="n">
        <v>2606.72</v>
      </c>
    </row>
    <row r="258" customFormat="false" ht="15" hidden="false" customHeight="true" outlineLevel="0" collapsed="false">
      <c r="A258" s="1" t="s">
        <v>280</v>
      </c>
      <c r="B258" s="1" t="s">
        <v>273</v>
      </c>
      <c r="C258" s="1" t="n">
        <v>8000</v>
      </c>
      <c r="D258" s="1" t="s">
        <v>268</v>
      </c>
      <c r="E258" s="1" t="s">
        <v>269</v>
      </c>
      <c r="F258" s="1" t="n">
        <v>2605.69</v>
      </c>
    </row>
    <row r="259" customFormat="false" ht="15" hidden="false" customHeight="true" outlineLevel="0" collapsed="false">
      <c r="A259" s="1" t="s">
        <v>280</v>
      </c>
      <c r="B259" s="1" t="s">
        <v>129</v>
      </c>
      <c r="C259" s="1" t="n">
        <v>8000</v>
      </c>
      <c r="D259" s="1" t="s">
        <v>268</v>
      </c>
      <c r="E259" s="1" t="s">
        <v>269</v>
      </c>
      <c r="F259" s="1" t="n">
        <v>2637.74</v>
      </c>
    </row>
    <row r="260" customFormat="false" ht="15" hidden="false" customHeight="true" outlineLevel="0" collapsed="false">
      <c r="A260" s="1" t="s">
        <v>280</v>
      </c>
      <c r="B260" s="1" t="s">
        <v>274</v>
      </c>
      <c r="C260" s="1" t="n">
        <v>8000</v>
      </c>
      <c r="D260" s="1" t="s">
        <v>268</v>
      </c>
      <c r="E260" s="1" t="s">
        <v>269</v>
      </c>
      <c r="F260" s="1" t="n">
        <v>2625.01</v>
      </c>
    </row>
    <row r="261" customFormat="false" ht="15" hidden="false" customHeight="true" outlineLevel="0" collapsed="false">
      <c r="A261" s="1" t="s">
        <v>280</v>
      </c>
      <c r="B261" s="1" t="s">
        <v>275</v>
      </c>
      <c r="C261" s="1" t="n">
        <v>8000</v>
      </c>
      <c r="D261" s="1" t="s">
        <v>268</v>
      </c>
      <c r="E261" s="1" t="s">
        <v>269</v>
      </c>
      <c r="F261" s="1" t="n">
        <v>2611.64</v>
      </c>
    </row>
    <row r="262" customFormat="false" ht="15" hidden="false" customHeight="true" outlineLevel="0" collapsed="false">
      <c r="A262" s="1" t="s">
        <v>280</v>
      </c>
      <c r="B262" s="1" t="s">
        <v>276</v>
      </c>
      <c r="C262" s="1" t="n">
        <v>8000</v>
      </c>
      <c r="D262" s="1" t="s">
        <v>268</v>
      </c>
      <c r="E262" s="1" t="s">
        <v>269</v>
      </c>
      <c r="F262" s="1" t="n">
        <v>2558.9</v>
      </c>
    </row>
    <row r="263" customFormat="false" ht="15" hidden="false" customHeight="true" outlineLevel="0" collapsed="false">
      <c r="A263" s="1" t="s">
        <v>280</v>
      </c>
      <c r="B263" s="1" t="s">
        <v>277</v>
      </c>
      <c r="C263" s="1" t="n">
        <v>8000</v>
      </c>
      <c r="D263" s="1" t="s">
        <v>268</v>
      </c>
      <c r="E263" s="1" t="s">
        <v>269</v>
      </c>
      <c r="F263" s="1" t="n">
        <v>2624.52</v>
      </c>
    </row>
    <row r="264" customFormat="false" ht="15" hidden="false" customHeight="true" outlineLevel="0" collapsed="false">
      <c r="A264" s="1" t="s">
        <v>280</v>
      </c>
      <c r="B264" s="1" t="s">
        <v>278</v>
      </c>
      <c r="C264" s="1" t="n">
        <v>8000</v>
      </c>
      <c r="D264" s="1" t="s">
        <v>268</v>
      </c>
      <c r="E264" s="1" t="s">
        <v>269</v>
      </c>
      <c r="F264" s="1" t="n">
        <v>2697.87</v>
      </c>
    </row>
    <row r="265" customFormat="false" ht="15" hidden="false" customHeight="true" outlineLevel="0" collapsed="false">
      <c r="A265" s="1" t="s">
        <v>280</v>
      </c>
      <c r="B265" s="1" t="s">
        <v>279</v>
      </c>
      <c r="C265" s="1" t="n">
        <v>8000</v>
      </c>
      <c r="D265" s="1" t="s">
        <v>268</v>
      </c>
      <c r="E265" s="1" t="s">
        <v>269</v>
      </c>
      <c r="F265" s="1" t="n">
        <v>2669.96</v>
      </c>
    </row>
    <row r="266" customFormat="false" ht="15" hidden="false" customHeight="true" outlineLevel="0" collapsed="false">
      <c r="A266" s="1" t="s">
        <v>281</v>
      </c>
      <c r="B266" s="1" t="s">
        <v>252</v>
      </c>
      <c r="C266" s="1" t="n">
        <v>4000</v>
      </c>
      <c r="D266" s="1" t="s">
        <v>253</v>
      </c>
      <c r="E266" s="1" t="s">
        <v>52</v>
      </c>
      <c r="F266" s="1" t="n">
        <v>660908.72</v>
      </c>
    </row>
    <row r="267" customFormat="false" ht="15" hidden="false" customHeight="true" outlineLevel="0" collapsed="false">
      <c r="A267" s="1" t="s">
        <v>281</v>
      </c>
      <c r="B267" s="1" t="s">
        <v>270</v>
      </c>
      <c r="C267" s="1" t="n">
        <v>4000</v>
      </c>
      <c r="D267" s="1" t="s">
        <v>253</v>
      </c>
      <c r="E267" s="1" t="s">
        <v>52</v>
      </c>
      <c r="F267" s="1" t="n">
        <v>633951.33</v>
      </c>
    </row>
    <row r="268" customFormat="false" ht="15" hidden="false" customHeight="true" outlineLevel="0" collapsed="false">
      <c r="A268" s="1" t="s">
        <v>281</v>
      </c>
      <c r="B268" s="1" t="s">
        <v>271</v>
      </c>
      <c r="C268" s="1" t="n">
        <v>4000</v>
      </c>
      <c r="D268" s="1" t="s">
        <v>253</v>
      </c>
      <c r="E268" s="1" t="s">
        <v>52</v>
      </c>
      <c r="F268" s="1" t="n">
        <v>627823.16</v>
      </c>
    </row>
    <row r="269" customFormat="false" ht="15" hidden="false" customHeight="true" outlineLevel="0" collapsed="false">
      <c r="A269" s="1" t="s">
        <v>281</v>
      </c>
      <c r="B269" s="1" t="s">
        <v>272</v>
      </c>
      <c r="C269" s="1" t="n">
        <v>4000</v>
      </c>
      <c r="D269" s="1" t="s">
        <v>253</v>
      </c>
      <c r="E269" s="1" t="s">
        <v>52</v>
      </c>
      <c r="F269" s="1" t="n">
        <v>638888.67</v>
      </c>
    </row>
    <row r="270" customFormat="false" ht="15" hidden="false" customHeight="true" outlineLevel="0" collapsed="false">
      <c r="A270" s="1" t="s">
        <v>281</v>
      </c>
      <c r="B270" s="1" t="s">
        <v>273</v>
      </c>
      <c r="C270" s="1" t="n">
        <v>4000</v>
      </c>
      <c r="D270" s="1" t="s">
        <v>253</v>
      </c>
      <c r="E270" s="1" t="s">
        <v>52</v>
      </c>
      <c r="F270" s="1" t="n">
        <v>641213.84</v>
      </c>
    </row>
    <row r="271" customFormat="false" ht="15" hidden="false" customHeight="true" outlineLevel="0" collapsed="false">
      <c r="A271" s="1" t="s">
        <v>281</v>
      </c>
      <c r="B271" s="1" t="s">
        <v>129</v>
      </c>
      <c r="C271" s="1" t="n">
        <v>4000</v>
      </c>
      <c r="D271" s="1" t="s">
        <v>253</v>
      </c>
      <c r="E271" s="1" t="s">
        <v>52</v>
      </c>
      <c r="F271" s="1" t="n">
        <v>654516.59</v>
      </c>
    </row>
    <row r="272" customFormat="false" ht="15" hidden="false" customHeight="true" outlineLevel="0" collapsed="false">
      <c r="A272" s="1" t="s">
        <v>281</v>
      </c>
      <c r="B272" s="1" t="s">
        <v>274</v>
      </c>
      <c r="C272" s="1" t="n">
        <v>4000</v>
      </c>
      <c r="D272" s="1" t="s">
        <v>253</v>
      </c>
      <c r="E272" s="1" t="s">
        <v>52</v>
      </c>
      <c r="F272" s="1" t="n">
        <v>618819.53</v>
      </c>
    </row>
    <row r="273" customFormat="false" ht="15" hidden="false" customHeight="true" outlineLevel="0" collapsed="false">
      <c r="A273" s="1" t="s">
        <v>281</v>
      </c>
      <c r="B273" s="1" t="s">
        <v>275</v>
      </c>
      <c r="C273" s="1" t="n">
        <v>4000</v>
      </c>
      <c r="D273" s="1" t="s">
        <v>253</v>
      </c>
      <c r="E273" s="1" t="s">
        <v>52</v>
      </c>
      <c r="F273" s="1" t="n">
        <v>660093.54</v>
      </c>
    </row>
    <row r="274" customFormat="false" ht="15" hidden="false" customHeight="true" outlineLevel="0" collapsed="false">
      <c r="A274" s="1" t="s">
        <v>281</v>
      </c>
      <c r="B274" s="1" t="s">
        <v>276</v>
      </c>
      <c r="C274" s="1" t="n">
        <v>4000</v>
      </c>
      <c r="D274" s="1" t="s">
        <v>253</v>
      </c>
      <c r="E274" s="1" t="s">
        <v>52</v>
      </c>
      <c r="F274" s="1" t="n">
        <v>638475.92</v>
      </c>
    </row>
    <row r="275" customFormat="false" ht="15" hidden="false" customHeight="true" outlineLevel="0" collapsed="false">
      <c r="A275" s="1" t="s">
        <v>281</v>
      </c>
      <c r="B275" s="1" t="s">
        <v>277</v>
      </c>
      <c r="C275" s="1" t="n">
        <v>4000</v>
      </c>
      <c r="D275" s="1" t="s">
        <v>253</v>
      </c>
      <c r="E275" s="1" t="s">
        <v>52</v>
      </c>
      <c r="F275" s="1" t="n">
        <v>635031.65</v>
      </c>
    </row>
    <row r="276" customFormat="false" ht="15" hidden="false" customHeight="true" outlineLevel="0" collapsed="false">
      <c r="A276" s="1" t="s">
        <v>281</v>
      </c>
      <c r="B276" s="1" t="s">
        <v>278</v>
      </c>
      <c r="C276" s="1" t="n">
        <v>4000</v>
      </c>
      <c r="D276" s="1" t="s">
        <v>253</v>
      </c>
      <c r="E276" s="1" t="s">
        <v>52</v>
      </c>
      <c r="F276" s="1" t="n">
        <v>627534.94</v>
      </c>
    </row>
    <row r="277" customFormat="false" ht="15" hidden="false" customHeight="true" outlineLevel="0" collapsed="false">
      <c r="A277" s="1" t="s">
        <v>281</v>
      </c>
      <c r="B277" s="1" t="s">
        <v>279</v>
      </c>
      <c r="C277" s="1" t="n">
        <v>4000</v>
      </c>
      <c r="D277" s="1" t="s">
        <v>253</v>
      </c>
      <c r="E277" s="1" t="s">
        <v>52</v>
      </c>
      <c r="F277" s="1" t="n">
        <v>619301.29</v>
      </c>
    </row>
    <row r="278" customFormat="false" ht="15" hidden="false" customHeight="true" outlineLevel="0" collapsed="false">
      <c r="A278" s="1" t="s">
        <v>281</v>
      </c>
      <c r="B278" s="1" t="s">
        <v>252</v>
      </c>
      <c r="C278" s="1" t="n">
        <v>4010</v>
      </c>
      <c r="D278" s="1" t="s">
        <v>255</v>
      </c>
      <c r="E278" s="1" t="s">
        <v>52</v>
      </c>
      <c r="F278" s="1" t="n">
        <v>325522.41</v>
      </c>
    </row>
    <row r="279" customFormat="false" ht="15" hidden="false" customHeight="true" outlineLevel="0" collapsed="false">
      <c r="A279" s="1" t="s">
        <v>281</v>
      </c>
      <c r="B279" s="1" t="s">
        <v>270</v>
      </c>
      <c r="C279" s="1" t="n">
        <v>4010</v>
      </c>
      <c r="D279" s="1" t="s">
        <v>255</v>
      </c>
      <c r="E279" s="1" t="s">
        <v>52</v>
      </c>
      <c r="F279" s="1" t="n">
        <v>320719.6</v>
      </c>
    </row>
    <row r="280" customFormat="false" ht="15" hidden="false" customHeight="true" outlineLevel="0" collapsed="false">
      <c r="A280" s="1" t="s">
        <v>281</v>
      </c>
      <c r="B280" s="1" t="s">
        <v>271</v>
      </c>
      <c r="C280" s="1" t="n">
        <v>4010</v>
      </c>
      <c r="D280" s="1" t="s">
        <v>255</v>
      </c>
      <c r="E280" s="1" t="s">
        <v>52</v>
      </c>
      <c r="F280" s="1" t="n">
        <v>311987.8</v>
      </c>
    </row>
    <row r="281" customFormat="false" ht="15" hidden="false" customHeight="true" outlineLevel="0" collapsed="false">
      <c r="A281" s="1" t="s">
        <v>281</v>
      </c>
      <c r="B281" s="1" t="s">
        <v>272</v>
      </c>
      <c r="C281" s="1" t="n">
        <v>4010</v>
      </c>
      <c r="D281" s="1" t="s">
        <v>255</v>
      </c>
      <c r="E281" s="1" t="s">
        <v>52</v>
      </c>
      <c r="F281" s="1" t="n">
        <v>311955.02</v>
      </c>
    </row>
    <row r="282" customFormat="false" ht="15" hidden="false" customHeight="true" outlineLevel="0" collapsed="false">
      <c r="A282" s="1" t="s">
        <v>281</v>
      </c>
      <c r="B282" s="1" t="s">
        <v>273</v>
      </c>
      <c r="C282" s="1" t="n">
        <v>4010</v>
      </c>
      <c r="D282" s="1" t="s">
        <v>255</v>
      </c>
      <c r="E282" s="1" t="s">
        <v>52</v>
      </c>
      <c r="F282" s="1" t="n">
        <v>318099.3</v>
      </c>
    </row>
    <row r="283" customFormat="false" ht="15" hidden="false" customHeight="true" outlineLevel="0" collapsed="false">
      <c r="A283" s="1" t="s">
        <v>281</v>
      </c>
      <c r="B283" s="1" t="s">
        <v>129</v>
      </c>
      <c r="C283" s="1" t="n">
        <v>4010</v>
      </c>
      <c r="D283" s="1" t="s">
        <v>255</v>
      </c>
      <c r="E283" s="1" t="s">
        <v>52</v>
      </c>
      <c r="F283" s="1" t="n">
        <v>330940.08</v>
      </c>
    </row>
    <row r="284" customFormat="false" ht="15" hidden="false" customHeight="true" outlineLevel="0" collapsed="false">
      <c r="A284" s="1" t="s">
        <v>281</v>
      </c>
      <c r="B284" s="1" t="s">
        <v>274</v>
      </c>
      <c r="C284" s="1" t="n">
        <v>4010</v>
      </c>
      <c r="D284" s="1" t="s">
        <v>255</v>
      </c>
      <c r="E284" s="1" t="s">
        <v>52</v>
      </c>
      <c r="F284" s="1" t="n">
        <v>318587.32</v>
      </c>
    </row>
    <row r="285" customFormat="false" ht="15" hidden="false" customHeight="true" outlineLevel="0" collapsed="false">
      <c r="A285" s="1" t="s">
        <v>281</v>
      </c>
      <c r="B285" s="1" t="s">
        <v>275</v>
      </c>
      <c r="C285" s="1" t="n">
        <v>4010</v>
      </c>
      <c r="D285" s="1" t="s">
        <v>255</v>
      </c>
      <c r="E285" s="1" t="s">
        <v>52</v>
      </c>
      <c r="F285" s="1" t="n">
        <v>310622.37</v>
      </c>
    </row>
    <row r="286" customFormat="false" ht="15" hidden="false" customHeight="true" outlineLevel="0" collapsed="false">
      <c r="A286" s="1" t="s">
        <v>281</v>
      </c>
      <c r="B286" s="1" t="s">
        <v>276</v>
      </c>
      <c r="C286" s="1" t="n">
        <v>4010</v>
      </c>
      <c r="D286" s="1" t="s">
        <v>255</v>
      </c>
      <c r="E286" s="1" t="s">
        <v>52</v>
      </c>
      <c r="F286" s="1" t="n">
        <v>318676.02</v>
      </c>
    </row>
    <row r="287" customFormat="false" ht="15" hidden="false" customHeight="true" outlineLevel="0" collapsed="false">
      <c r="A287" s="1" t="s">
        <v>281</v>
      </c>
      <c r="B287" s="1" t="s">
        <v>277</v>
      </c>
      <c r="C287" s="1" t="n">
        <v>4010</v>
      </c>
      <c r="D287" s="1" t="s">
        <v>255</v>
      </c>
      <c r="E287" s="1" t="s">
        <v>52</v>
      </c>
      <c r="F287" s="1" t="n">
        <v>318503.21</v>
      </c>
    </row>
    <row r="288" customFormat="false" ht="15" hidden="false" customHeight="true" outlineLevel="0" collapsed="false">
      <c r="A288" s="1" t="s">
        <v>281</v>
      </c>
      <c r="B288" s="1" t="s">
        <v>278</v>
      </c>
      <c r="C288" s="1" t="n">
        <v>4010</v>
      </c>
      <c r="D288" s="1" t="s">
        <v>255</v>
      </c>
      <c r="E288" s="1" t="s">
        <v>52</v>
      </c>
      <c r="F288" s="1" t="n">
        <v>302976.44</v>
      </c>
    </row>
    <row r="289" customFormat="false" ht="15" hidden="false" customHeight="true" outlineLevel="0" collapsed="false">
      <c r="A289" s="1" t="s">
        <v>281</v>
      </c>
      <c r="B289" s="1" t="s">
        <v>279</v>
      </c>
      <c r="C289" s="1" t="n">
        <v>4010</v>
      </c>
      <c r="D289" s="1" t="s">
        <v>255</v>
      </c>
      <c r="E289" s="1" t="s">
        <v>52</v>
      </c>
      <c r="F289" s="1" t="n">
        <v>319902.24</v>
      </c>
    </row>
    <row r="290" customFormat="false" ht="15" hidden="false" customHeight="true" outlineLevel="0" collapsed="false">
      <c r="A290" s="1" t="s">
        <v>281</v>
      </c>
      <c r="B290" s="1" t="s">
        <v>252</v>
      </c>
      <c r="C290" s="1" t="n">
        <v>5000</v>
      </c>
      <c r="D290" s="1" t="s">
        <v>256</v>
      </c>
      <c r="E290" s="1" t="s">
        <v>140</v>
      </c>
      <c r="F290" s="1" t="n">
        <v>212513.91</v>
      </c>
    </row>
    <row r="291" customFormat="false" ht="15" hidden="false" customHeight="true" outlineLevel="0" collapsed="false">
      <c r="A291" s="1" t="s">
        <v>281</v>
      </c>
      <c r="B291" s="1" t="s">
        <v>270</v>
      </c>
      <c r="C291" s="1" t="n">
        <v>5000</v>
      </c>
      <c r="D291" s="1" t="s">
        <v>256</v>
      </c>
      <c r="E291" s="1" t="s">
        <v>140</v>
      </c>
      <c r="F291" s="1" t="n">
        <v>216472.8</v>
      </c>
    </row>
    <row r="292" customFormat="false" ht="15" hidden="false" customHeight="true" outlineLevel="0" collapsed="false">
      <c r="A292" s="1" t="s">
        <v>281</v>
      </c>
      <c r="B292" s="1" t="s">
        <v>271</v>
      </c>
      <c r="C292" s="1" t="n">
        <v>5000</v>
      </c>
      <c r="D292" s="1" t="s">
        <v>256</v>
      </c>
      <c r="E292" s="1" t="s">
        <v>140</v>
      </c>
      <c r="F292" s="1" t="n">
        <v>221395.04</v>
      </c>
    </row>
    <row r="293" customFormat="false" ht="15" hidden="false" customHeight="true" outlineLevel="0" collapsed="false">
      <c r="A293" s="1" t="s">
        <v>281</v>
      </c>
      <c r="B293" s="1" t="s">
        <v>272</v>
      </c>
      <c r="C293" s="1" t="n">
        <v>5000</v>
      </c>
      <c r="D293" s="1" t="s">
        <v>256</v>
      </c>
      <c r="E293" s="1" t="s">
        <v>140</v>
      </c>
      <c r="F293" s="1" t="n">
        <v>218310.43</v>
      </c>
    </row>
    <row r="294" customFormat="false" ht="15" hidden="false" customHeight="true" outlineLevel="0" collapsed="false">
      <c r="A294" s="1" t="s">
        <v>281</v>
      </c>
      <c r="B294" s="1" t="s">
        <v>273</v>
      </c>
      <c r="C294" s="1" t="n">
        <v>5000</v>
      </c>
      <c r="D294" s="1" t="s">
        <v>256</v>
      </c>
      <c r="E294" s="1" t="s">
        <v>140</v>
      </c>
      <c r="F294" s="1" t="n">
        <v>212351.85</v>
      </c>
    </row>
    <row r="295" customFormat="false" ht="15" hidden="false" customHeight="true" outlineLevel="0" collapsed="false">
      <c r="A295" s="1" t="s">
        <v>281</v>
      </c>
      <c r="B295" s="1" t="s">
        <v>129</v>
      </c>
      <c r="C295" s="1" t="n">
        <v>5000</v>
      </c>
      <c r="D295" s="1" t="s">
        <v>256</v>
      </c>
      <c r="E295" s="1" t="s">
        <v>140</v>
      </c>
      <c r="F295" s="1" t="n">
        <v>208775.13</v>
      </c>
    </row>
    <row r="296" customFormat="false" ht="15" hidden="false" customHeight="true" outlineLevel="0" collapsed="false">
      <c r="A296" s="1" t="s">
        <v>281</v>
      </c>
      <c r="B296" s="1" t="s">
        <v>274</v>
      </c>
      <c r="C296" s="1" t="n">
        <v>5000</v>
      </c>
      <c r="D296" s="1" t="s">
        <v>256</v>
      </c>
      <c r="E296" s="1" t="s">
        <v>140</v>
      </c>
      <c r="F296" s="1" t="n">
        <v>224488.25</v>
      </c>
    </row>
    <row r="297" customFormat="false" ht="15" hidden="false" customHeight="true" outlineLevel="0" collapsed="false">
      <c r="A297" s="1" t="s">
        <v>281</v>
      </c>
      <c r="B297" s="1" t="s">
        <v>275</v>
      </c>
      <c r="C297" s="1" t="n">
        <v>5000</v>
      </c>
      <c r="D297" s="1" t="s">
        <v>256</v>
      </c>
      <c r="E297" s="1" t="s">
        <v>140</v>
      </c>
      <c r="F297" s="1" t="n">
        <v>213752.86</v>
      </c>
    </row>
    <row r="298" customFormat="false" ht="15" hidden="false" customHeight="true" outlineLevel="0" collapsed="false">
      <c r="A298" s="1" t="s">
        <v>281</v>
      </c>
      <c r="B298" s="1" t="s">
        <v>276</v>
      </c>
      <c r="C298" s="1" t="n">
        <v>5000</v>
      </c>
      <c r="D298" s="1" t="s">
        <v>256</v>
      </c>
      <c r="E298" s="1" t="s">
        <v>140</v>
      </c>
      <c r="F298" s="1" t="n">
        <v>213559.48</v>
      </c>
    </row>
    <row r="299" customFormat="false" ht="15" hidden="false" customHeight="true" outlineLevel="0" collapsed="false">
      <c r="A299" s="1" t="s">
        <v>281</v>
      </c>
      <c r="B299" s="1" t="s">
        <v>277</v>
      </c>
      <c r="C299" s="1" t="n">
        <v>5000</v>
      </c>
      <c r="D299" s="1" t="s">
        <v>256</v>
      </c>
      <c r="E299" s="1" t="s">
        <v>140</v>
      </c>
      <c r="F299" s="1" t="n">
        <v>213396.99</v>
      </c>
    </row>
    <row r="300" customFormat="false" ht="15" hidden="false" customHeight="true" outlineLevel="0" collapsed="false">
      <c r="A300" s="1" t="s">
        <v>281</v>
      </c>
      <c r="B300" s="1" t="s">
        <v>278</v>
      </c>
      <c r="C300" s="1" t="n">
        <v>5000</v>
      </c>
      <c r="D300" s="1" t="s">
        <v>256</v>
      </c>
      <c r="E300" s="1" t="s">
        <v>140</v>
      </c>
      <c r="F300" s="1" t="n">
        <v>214345.82</v>
      </c>
    </row>
    <row r="301" customFormat="false" ht="15" hidden="false" customHeight="true" outlineLevel="0" collapsed="false">
      <c r="A301" s="1" t="s">
        <v>281</v>
      </c>
      <c r="B301" s="1" t="s">
        <v>279</v>
      </c>
      <c r="C301" s="1" t="n">
        <v>5000</v>
      </c>
      <c r="D301" s="1" t="s">
        <v>256</v>
      </c>
      <c r="E301" s="1" t="s">
        <v>140</v>
      </c>
      <c r="F301" s="1" t="n">
        <v>212883.58</v>
      </c>
    </row>
    <row r="302" customFormat="false" ht="15" hidden="false" customHeight="true" outlineLevel="0" collapsed="false">
      <c r="A302" s="1" t="s">
        <v>281</v>
      </c>
      <c r="B302" s="1" t="s">
        <v>252</v>
      </c>
      <c r="C302" s="1" t="n">
        <v>5010</v>
      </c>
      <c r="D302" s="1" t="s">
        <v>258</v>
      </c>
      <c r="E302" s="1" t="s">
        <v>140</v>
      </c>
      <c r="F302" s="1" t="n">
        <v>211050.46</v>
      </c>
    </row>
    <row r="303" customFormat="false" ht="15" hidden="false" customHeight="true" outlineLevel="0" collapsed="false">
      <c r="A303" s="1" t="s">
        <v>281</v>
      </c>
      <c r="B303" s="1" t="s">
        <v>270</v>
      </c>
      <c r="C303" s="1" t="n">
        <v>5010</v>
      </c>
      <c r="D303" s="1" t="s">
        <v>258</v>
      </c>
      <c r="E303" s="1" t="s">
        <v>140</v>
      </c>
      <c r="F303" s="1" t="n">
        <v>211164.91</v>
      </c>
    </row>
    <row r="304" customFormat="false" ht="15" hidden="false" customHeight="true" outlineLevel="0" collapsed="false">
      <c r="A304" s="1" t="s">
        <v>281</v>
      </c>
      <c r="B304" s="1" t="s">
        <v>271</v>
      </c>
      <c r="C304" s="1" t="n">
        <v>5010</v>
      </c>
      <c r="D304" s="1" t="s">
        <v>258</v>
      </c>
      <c r="E304" s="1" t="s">
        <v>140</v>
      </c>
      <c r="F304" s="1" t="n">
        <v>213360.14</v>
      </c>
    </row>
    <row r="305" customFormat="false" ht="15" hidden="false" customHeight="true" outlineLevel="0" collapsed="false">
      <c r="A305" s="1" t="s">
        <v>281</v>
      </c>
      <c r="B305" s="1" t="s">
        <v>272</v>
      </c>
      <c r="C305" s="1" t="n">
        <v>5010</v>
      </c>
      <c r="D305" s="1" t="s">
        <v>258</v>
      </c>
      <c r="E305" s="1" t="s">
        <v>140</v>
      </c>
      <c r="F305" s="1" t="n">
        <v>211179.58</v>
      </c>
    </row>
    <row r="306" customFormat="false" ht="15" hidden="false" customHeight="true" outlineLevel="0" collapsed="false">
      <c r="A306" s="1" t="s">
        <v>281</v>
      </c>
      <c r="B306" s="1" t="s">
        <v>273</v>
      </c>
      <c r="C306" s="1" t="n">
        <v>5010</v>
      </c>
      <c r="D306" s="1" t="s">
        <v>258</v>
      </c>
      <c r="E306" s="1" t="s">
        <v>140</v>
      </c>
      <c r="F306" s="1" t="n">
        <v>210456.15</v>
      </c>
    </row>
    <row r="307" customFormat="false" ht="15" hidden="false" customHeight="true" outlineLevel="0" collapsed="false">
      <c r="A307" s="1" t="s">
        <v>281</v>
      </c>
      <c r="B307" s="1" t="s">
        <v>129</v>
      </c>
      <c r="C307" s="1" t="n">
        <v>5010</v>
      </c>
      <c r="D307" s="1" t="s">
        <v>258</v>
      </c>
      <c r="E307" s="1" t="s">
        <v>140</v>
      </c>
      <c r="F307" s="1" t="n">
        <v>213954.46</v>
      </c>
    </row>
    <row r="308" customFormat="false" ht="15" hidden="false" customHeight="true" outlineLevel="0" collapsed="false">
      <c r="A308" s="1" t="s">
        <v>281</v>
      </c>
      <c r="B308" s="1" t="s">
        <v>274</v>
      </c>
      <c r="C308" s="1" t="n">
        <v>5010</v>
      </c>
      <c r="D308" s="1" t="s">
        <v>258</v>
      </c>
      <c r="E308" s="1" t="s">
        <v>140</v>
      </c>
      <c r="F308" s="1" t="n">
        <v>212411.25</v>
      </c>
    </row>
    <row r="309" customFormat="false" ht="15" hidden="false" customHeight="true" outlineLevel="0" collapsed="false">
      <c r="A309" s="1" t="s">
        <v>281</v>
      </c>
      <c r="B309" s="1" t="s">
        <v>275</v>
      </c>
      <c r="C309" s="1" t="n">
        <v>5010</v>
      </c>
      <c r="D309" s="1" t="s">
        <v>258</v>
      </c>
      <c r="E309" s="1" t="s">
        <v>140</v>
      </c>
      <c r="F309" s="1" t="n">
        <v>219922.05</v>
      </c>
    </row>
    <row r="310" customFormat="false" ht="15" hidden="false" customHeight="true" outlineLevel="0" collapsed="false">
      <c r="A310" s="1" t="s">
        <v>281</v>
      </c>
      <c r="B310" s="1" t="s">
        <v>276</v>
      </c>
      <c r="C310" s="1" t="n">
        <v>5010</v>
      </c>
      <c r="D310" s="1" t="s">
        <v>258</v>
      </c>
      <c r="E310" s="1" t="s">
        <v>140</v>
      </c>
      <c r="F310" s="1" t="n">
        <v>202180.36</v>
      </c>
    </row>
    <row r="311" customFormat="false" ht="15" hidden="false" customHeight="true" outlineLevel="0" collapsed="false">
      <c r="A311" s="1" t="s">
        <v>281</v>
      </c>
      <c r="B311" s="1" t="s">
        <v>277</v>
      </c>
      <c r="C311" s="1" t="n">
        <v>5010</v>
      </c>
      <c r="D311" s="1" t="s">
        <v>258</v>
      </c>
      <c r="E311" s="1" t="s">
        <v>140</v>
      </c>
      <c r="F311" s="1" t="n">
        <v>218160.73</v>
      </c>
    </row>
    <row r="312" customFormat="false" ht="15" hidden="false" customHeight="true" outlineLevel="0" collapsed="false">
      <c r="A312" s="1" t="s">
        <v>281</v>
      </c>
      <c r="B312" s="1" t="s">
        <v>278</v>
      </c>
      <c r="C312" s="1" t="n">
        <v>5010</v>
      </c>
      <c r="D312" s="1" t="s">
        <v>258</v>
      </c>
      <c r="E312" s="1" t="s">
        <v>140</v>
      </c>
      <c r="F312" s="1" t="n">
        <v>218820.78</v>
      </c>
    </row>
    <row r="313" customFormat="false" ht="15" hidden="false" customHeight="true" outlineLevel="0" collapsed="false">
      <c r="A313" s="1" t="s">
        <v>281</v>
      </c>
      <c r="B313" s="1" t="s">
        <v>279</v>
      </c>
      <c r="C313" s="1" t="n">
        <v>5010</v>
      </c>
      <c r="D313" s="1" t="s">
        <v>258</v>
      </c>
      <c r="E313" s="1" t="s">
        <v>140</v>
      </c>
      <c r="F313" s="1" t="n">
        <v>204646.62</v>
      </c>
    </row>
    <row r="314" customFormat="false" ht="15" hidden="false" customHeight="true" outlineLevel="0" collapsed="false">
      <c r="A314" s="1" t="s">
        <v>281</v>
      </c>
      <c r="B314" s="1" t="s">
        <v>252</v>
      </c>
      <c r="C314" s="1" t="n">
        <v>6000</v>
      </c>
      <c r="D314" s="1" t="s">
        <v>259</v>
      </c>
      <c r="E314" s="1" t="s">
        <v>143</v>
      </c>
      <c r="F314" s="1" t="n">
        <v>44426.74</v>
      </c>
    </row>
    <row r="315" customFormat="false" ht="15" hidden="false" customHeight="true" outlineLevel="0" collapsed="false">
      <c r="A315" s="1" t="s">
        <v>281</v>
      </c>
      <c r="B315" s="1" t="s">
        <v>270</v>
      </c>
      <c r="C315" s="1" t="n">
        <v>6000</v>
      </c>
      <c r="D315" s="1" t="s">
        <v>259</v>
      </c>
      <c r="E315" s="1" t="s">
        <v>143</v>
      </c>
      <c r="F315" s="1" t="n">
        <v>44401.02</v>
      </c>
    </row>
    <row r="316" customFormat="false" ht="15" hidden="false" customHeight="true" outlineLevel="0" collapsed="false">
      <c r="A316" s="1" t="s">
        <v>281</v>
      </c>
      <c r="B316" s="1" t="s">
        <v>271</v>
      </c>
      <c r="C316" s="1" t="n">
        <v>6000</v>
      </c>
      <c r="D316" s="1" t="s">
        <v>259</v>
      </c>
      <c r="E316" s="1" t="s">
        <v>143</v>
      </c>
      <c r="F316" s="1" t="n">
        <v>43474.08</v>
      </c>
    </row>
    <row r="317" customFormat="false" ht="15" hidden="false" customHeight="true" outlineLevel="0" collapsed="false">
      <c r="A317" s="1" t="s">
        <v>281</v>
      </c>
      <c r="B317" s="1" t="s">
        <v>272</v>
      </c>
      <c r="C317" s="1" t="n">
        <v>6000</v>
      </c>
      <c r="D317" s="1" t="s">
        <v>259</v>
      </c>
      <c r="E317" s="1" t="s">
        <v>143</v>
      </c>
      <c r="F317" s="1" t="n">
        <v>44037.45</v>
      </c>
    </row>
    <row r="318" customFormat="false" ht="15" hidden="false" customHeight="true" outlineLevel="0" collapsed="false">
      <c r="A318" s="1" t="s">
        <v>281</v>
      </c>
      <c r="B318" s="1" t="s">
        <v>273</v>
      </c>
      <c r="C318" s="1" t="n">
        <v>6000</v>
      </c>
      <c r="D318" s="1" t="s">
        <v>259</v>
      </c>
      <c r="E318" s="1" t="s">
        <v>143</v>
      </c>
      <c r="F318" s="1" t="n">
        <v>43739.74</v>
      </c>
    </row>
    <row r="319" customFormat="false" ht="15" hidden="false" customHeight="true" outlineLevel="0" collapsed="false">
      <c r="A319" s="1" t="s">
        <v>281</v>
      </c>
      <c r="B319" s="1" t="s">
        <v>129</v>
      </c>
      <c r="C319" s="1" t="n">
        <v>6000</v>
      </c>
      <c r="D319" s="1" t="s">
        <v>259</v>
      </c>
      <c r="E319" s="1" t="s">
        <v>143</v>
      </c>
      <c r="F319" s="1" t="n">
        <v>46301.03</v>
      </c>
    </row>
    <row r="320" customFormat="false" ht="15" hidden="false" customHeight="true" outlineLevel="0" collapsed="false">
      <c r="A320" s="1" t="s">
        <v>281</v>
      </c>
      <c r="B320" s="1" t="s">
        <v>274</v>
      </c>
      <c r="C320" s="1" t="n">
        <v>6000</v>
      </c>
      <c r="D320" s="1" t="s">
        <v>259</v>
      </c>
      <c r="E320" s="1" t="s">
        <v>143</v>
      </c>
      <c r="F320" s="1" t="n">
        <v>45570.45</v>
      </c>
    </row>
    <row r="321" customFormat="false" ht="15" hidden="false" customHeight="true" outlineLevel="0" collapsed="false">
      <c r="A321" s="1" t="s">
        <v>281</v>
      </c>
      <c r="B321" s="1" t="s">
        <v>275</v>
      </c>
      <c r="C321" s="1" t="n">
        <v>6000</v>
      </c>
      <c r="D321" s="1" t="s">
        <v>259</v>
      </c>
      <c r="E321" s="1" t="s">
        <v>143</v>
      </c>
      <c r="F321" s="1" t="n">
        <v>45870.95</v>
      </c>
    </row>
    <row r="322" customFormat="false" ht="15" hidden="false" customHeight="true" outlineLevel="0" collapsed="false">
      <c r="A322" s="1" t="s">
        <v>281</v>
      </c>
      <c r="B322" s="1" t="s">
        <v>276</v>
      </c>
      <c r="C322" s="1" t="n">
        <v>6000</v>
      </c>
      <c r="D322" s="1" t="s">
        <v>259</v>
      </c>
      <c r="E322" s="1" t="s">
        <v>143</v>
      </c>
      <c r="F322" s="1" t="n">
        <v>45378.99</v>
      </c>
    </row>
    <row r="323" customFormat="false" ht="15" hidden="false" customHeight="true" outlineLevel="0" collapsed="false">
      <c r="A323" s="1" t="s">
        <v>281</v>
      </c>
      <c r="B323" s="1" t="s">
        <v>277</v>
      </c>
      <c r="C323" s="1" t="n">
        <v>6000</v>
      </c>
      <c r="D323" s="1" t="s">
        <v>259</v>
      </c>
      <c r="E323" s="1" t="s">
        <v>143</v>
      </c>
      <c r="F323" s="1" t="n">
        <v>43723.21</v>
      </c>
    </row>
    <row r="324" customFormat="false" ht="15" hidden="false" customHeight="true" outlineLevel="0" collapsed="false">
      <c r="A324" s="1" t="s">
        <v>281</v>
      </c>
      <c r="B324" s="1" t="s">
        <v>278</v>
      </c>
      <c r="C324" s="1" t="n">
        <v>6000</v>
      </c>
      <c r="D324" s="1" t="s">
        <v>259</v>
      </c>
      <c r="E324" s="1" t="s">
        <v>143</v>
      </c>
      <c r="F324" s="1" t="n">
        <v>44264.06</v>
      </c>
    </row>
    <row r="325" customFormat="false" ht="15" hidden="false" customHeight="true" outlineLevel="0" collapsed="false">
      <c r="A325" s="1" t="s">
        <v>281</v>
      </c>
      <c r="B325" s="1" t="s">
        <v>279</v>
      </c>
      <c r="C325" s="1" t="n">
        <v>6000</v>
      </c>
      <c r="D325" s="1" t="s">
        <v>259</v>
      </c>
      <c r="E325" s="1" t="s">
        <v>143</v>
      </c>
      <c r="F325" s="1" t="n">
        <v>45171.16</v>
      </c>
    </row>
    <row r="326" customFormat="false" ht="15" hidden="false" customHeight="true" outlineLevel="0" collapsed="false">
      <c r="A326" s="1" t="s">
        <v>281</v>
      </c>
      <c r="B326" s="1" t="s">
        <v>252</v>
      </c>
      <c r="C326" s="1" t="n">
        <v>6010</v>
      </c>
      <c r="D326" s="1" t="s">
        <v>261</v>
      </c>
      <c r="E326" s="1" t="s">
        <v>143</v>
      </c>
      <c r="F326" s="1" t="n">
        <v>43639.94</v>
      </c>
    </row>
    <row r="327" customFormat="false" ht="15" hidden="false" customHeight="true" outlineLevel="0" collapsed="false">
      <c r="A327" s="1" t="s">
        <v>281</v>
      </c>
      <c r="B327" s="1" t="s">
        <v>270</v>
      </c>
      <c r="C327" s="1" t="n">
        <v>6010</v>
      </c>
      <c r="D327" s="1" t="s">
        <v>261</v>
      </c>
      <c r="E327" s="1" t="s">
        <v>143</v>
      </c>
      <c r="F327" s="1" t="n">
        <v>45371.23</v>
      </c>
    </row>
    <row r="328" customFormat="false" ht="15" hidden="false" customHeight="true" outlineLevel="0" collapsed="false">
      <c r="A328" s="1" t="s">
        <v>281</v>
      </c>
      <c r="B328" s="1" t="s">
        <v>271</v>
      </c>
      <c r="C328" s="1" t="n">
        <v>6010</v>
      </c>
      <c r="D328" s="1" t="s">
        <v>261</v>
      </c>
      <c r="E328" s="1" t="s">
        <v>143</v>
      </c>
      <c r="F328" s="1" t="n">
        <v>44518.32</v>
      </c>
    </row>
    <row r="329" customFormat="false" ht="15" hidden="false" customHeight="true" outlineLevel="0" collapsed="false">
      <c r="A329" s="1" t="s">
        <v>281</v>
      </c>
      <c r="B329" s="1" t="s">
        <v>272</v>
      </c>
      <c r="C329" s="1" t="n">
        <v>6010</v>
      </c>
      <c r="D329" s="1" t="s">
        <v>261</v>
      </c>
      <c r="E329" s="1" t="s">
        <v>143</v>
      </c>
      <c r="F329" s="1" t="n">
        <v>44397.99</v>
      </c>
    </row>
    <row r="330" customFormat="false" ht="15" hidden="false" customHeight="true" outlineLevel="0" collapsed="false">
      <c r="A330" s="1" t="s">
        <v>281</v>
      </c>
      <c r="B330" s="1" t="s">
        <v>273</v>
      </c>
      <c r="C330" s="1" t="n">
        <v>6010</v>
      </c>
      <c r="D330" s="1" t="s">
        <v>261</v>
      </c>
      <c r="E330" s="1" t="s">
        <v>143</v>
      </c>
      <c r="F330" s="1" t="n">
        <v>45369.41</v>
      </c>
    </row>
    <row r="331" customFormat="false" ht="15" hidden="false" customHeight="true" outlineLevel="0" collapsed="false">
      <c r="A331" s="1" t="s">
        <v>281</v>
      </c>
      <c r="B331" s="1" t="s">
        <v>129</v>
      </c>
      <c r="C331" s="1" t="n">
        <v>6010</v>
      </c>
      <c r="D331" s="1" t="s">
        <v>261</v>
      </c>
      <c r="E331" s="1" t="s">
        <v>143</v>
      </c>
      <c r="F331" s="1" t="n">
        <v>45130.8</v>
      </c>
    </row>
    <row r="332" customFormat="false" ht="15" hidden="false" customHeight="true" outlineLevel="0" collapsed="false">
      <c r="A332" s="1" t="s">
        <v>281</v>
      </c>
      <c r="B332" s="1" t="s">
        <v>274</v>
      </c>
      <c r="C332" s="1" t="n">
        <v>6010</v>
      </c>
      <c r="D332" s="1" t="s">
        <v>261</v>
      </c>
      <c r="E332" s="1" t="s">
        <v>143</v>
      </c>
      <c r="F332" s="1" t="n">
        <v>44410.39</v>
      </c>
    </row>
    <row r="333" customFormat="false" ht="15" hidden="false" customHeight="true" outlineLevel="0" collapsed="false">
      <c r="A333" s="1" t="s">
        <v>281</v>
      </c>
      <c r="B333" s="1" t="s">
        <v>275</v>
      </c>
      <c r="C333" s="1" t="n">
        <v>6010</v>
      </c>
      <c r="D333" s="1" t="s">
        <v>261</v>
      </c>
      <c r="E333" s="1" t="s">
        <v>143</v>
      </c>
      <c r="F333" s="1" t="n">
        <v>45770.55</v>
      </c>
    </row>
    <row r="334" customFormat="false" ht="15" hidden="false" customHeight="true" outlineLevel="0" collapsed="false">
      <c r="A334" s="1" t="s">
        <v>281</v>
      </c>
      <c r="B334" s="1" t="s">
        <v>276</v>
      </c>
      <c r="C334" s="1" t="n">
        <v>6010</v>
      </c>
      <c r="D334" s="1" t="s">
        <v>261</v>
      </c>
      <c r="E334" s="1" t="s">
        <v>143</v>
      </c>
      <c r="F334" s="1" t="n">
        <v>43766.14</v>
      </c>
    </row>
    <row r="335" customFormat="false" ht="15" hidden="false" customHeight="true" outlineLevel="0" collapsed="false">
      <c r="A335" s="1" t="s">
        <v>281</v>
      </c>
      <c r="B335" s="1" t="s">
        <v>277</v>
      </c>
      <c r="C335" s="1" t="n">
        <v>6010</v>
      </c>
      <c r="D335" s="1" t="s">
        <v>261</v>
      </c>
      <c r="E335" s="1" t="s">
        <v>143</v>
      </c>
      <c r="F335" s="1" t="n">
        <v>45284.39</v>
      </c>
    </row>
    <row r="336" customFormat="false" ht="15" hidden="false" customHeight="true" outlineLevel="0" collapsed="false">
      <c r="A336" s="1" t="s">
        <v>281</v>
      </c>
      <c r="B336" s="1" t="s">
        <v>278</v>
      </c>
      <c r="C336" s="1" t="n">
        <v>6010</v>
      </c>
      <c r="D336" s="1" t="s">
        <v>261</v>
      </c>
      <c r="E336" s="1" t="s">
        <v>143</v>
      </c>
      <c r="F336" s="1" t="n">
        <v>45263.96</v>
      </c>
    </row>
    <row r="337" customFormat="false" ht="15" hidden="false" customHeight="true" outlineLevel="0" collapsed="false">
      <c r="A337" s="1" t="s">
        <v>281</v>
      </c>
      <c r="B337" s="1" t="s">
        <v>279</v>
      </c>
      <c r="C337" s="1" t="n">
        <v>6010</v>
      </c>
      <c r="D337" s="1" t="s">
        <v>261</v>
      </c>
      <c r="E337" s="1" t="s">
        <v>143</v>
      </c>
      <c r="F337" s="1" t="n">
        <v>44456.39</v>
      </c>
    </row>
    <row r="338" customFormat="false" ht="15" hidden="false" customHeight="true" outlineLevel="0" collapsed="false">
      <c r="A338" s="1" t="s">
        <v>281</v>
      </c>
      <c r="B338" s="1" t="s">
        <v>252</v>
      </c>
      <c r="C338" s="1" t="n">
        <v>6020</v>
      </c>
      <c r="D338" s="1" t="s">
        <v>263</v>
      </c>
      <c r="E338" s="1" t="s">
        <v>143</v>
      </c>
      <c r="F338" s="1" t="n">
        <v>45025.11</v>
      </c>
    </row>
    <row r="339" customFormat="false" ht="15" hidden="false" customHeight="true" outlineLevel="0" collapsed="false">
      <c r="A339" s="1" t="s">
        <v>281</v>
      </c>
      <c r="B339" s="1" t="s">
        <v>270</v>
      </c>
      <c r="C339" s="1" t="n">
        <v>6020</v>
      </c>
      <c r="D339" s="1" t="s">
        <v>263</v>
      </c>
      <c r="E339" s="1" t="s">
        <v>143</v>
      </c>
      <c r="F339" s="1" t="n">
        <v>43614</v>
      </c>
    </row>
    <row r="340" customFormat="false" ht="15" hidden="false" customHeight="true" outlineLevel="0" collapsed="false">
      <c r="A340" s="1" t="s">
        <v>281</v>
      </c>
      <c r="B340" s="1" t="s">
        <v>271</v>
      </c>
      <c r="C340" s="1" t="n">
        <v>6020</v>
      </c>
      <c r="D340" s="1" t="s">
        <v>263</v>
      </c>
      <c r="E340" s="1" t="s">
        <v>143</v>
      </c>
      <c r="F340" s="1" t="n">
        <v>45560.03</v>
      </c>
    </row>
    <row r="341" customFormat="false" ht="15" hidden="false" customHeight="true" outlineLevel="0" collapsed="false">
      <c r="A341" s="1" t="s">
        <v>281</v>
      </c>
      <c r="B341" s="1" t="s">
        <v>272</v>
      </c>
      <c r="C341" s="1" t="n">
        <v>6020</v>
      </c>
      <c r="D341" s="1" t="s">
        <v>263</v>
      </c>
      <c r="E341" s="1" t="s">
        <v>143</v>
      </c>
      <c r="F341" s="1" t="n">
        <v>44567.91</v>
      </c>
    </row>
    <row r="342" customFormat="false" ht="15" hidden="false" customHeight="true" outlineLevel="0" collapsed="false">
      <c r="A342" s="1" t="s">
        <v>281</v>
      </c>
      <c r="B342" s="1" t="s">
        <v>273</v>
      </c>
      <c r="C342" s="1" t="n">
        <v>6020</v>
      </c>
      <c r="D342" s="1" t="s">
        <v>263</v>
      </c>
      <c r="E342" s="1" t="s">
        <v>143</v>
      </c>
      <c r="F342" s="1" t="n">
        <v>44265.67</v>
      </c>
    </row>
    <row r="343" customFormat="false" ht="15" hidden="false" customHeight="true" outlineLevel="0" collapsed="false">
      <c r="A343" s="1" t="s">
        <v>281</v>
      </c>
      <c r="B343" s="1" t="s">
        <v>129</v>
      </c>
      <c r="C343" s="1" t="n">
        <v>6020</v>
      </c>
      <c r="D343" s="1" t="s">
        <v>263</v>
      </c>
      <c r="E343" s="1" t="s">
        <v>143</v>
      </c>
      <c r="F343" s="1" t="n">
        <v>45671.85</v>
      </c>
    </row>
    <row r="344" customFormat="false" ht="15" hidden="false" customHeight="true" outlineLevel="0" collapsed="false">
      <c r="A344" s="1" t="s">
        <v>281</v>
      </c>
      <c r="B344" s="1" t="s">
        <v>274</v>
      </c>
      <c r="C344" s="1" t="n">
        <v>6020</v>
      </c>
      <c r="D344" s="1" t="s">
        <v>263</v>
      </c>
      <c r="E344" s="1" t="s">
        <v>143</v>
      </c>
      <c r="F344" s="1" t="n">
        <v>44103.18</v>
      </c>
    </row>
    <row r="345" customFormat="false" ht="15" hidden="false" customHeight="true" outlineLevel="0" collapsed="false">
      <c r="A345" s="1" t="s">
        <v>281</v>
      </c>
      <c r="B345" s="1" t="s">
        <v>275</v>
      </c>
      <c r="C345" s="1" t="n">
        <v>6020</v>
      </c>
      <c r="D345" s="1" t="s">
        <v>263</v>
      </c>
      <c r="E345" s="1" t="s">
        <v>143</v>
      </c>
      <c r="F345" s="1" t="n">
        <v>43473.23</v>
      </c>
    </row>
    <row r="346" customFormat="false" ht="15" hidden="false" customHeight="true" outlineLevel="0" collapsed="false">
      <c r="A346" s="1" t="s">
        <v>281</v>
      </c>
      <c r="B346" s="1" t="s">
        <v>276</v>
      </c>
      <c r="C346" s="1" t="n">
        <v>6020</v>
      </c>
      <c r="D346" s="1" t="s">
        <v>263</v>
      </c>
      <c r="E346" s="1" t="s">
        <v>143</v>
      </c>
      <c r="F346" s="1" t="n">
        <v>43340.67</v>
      </c>
    </row>
    <row r="347" customFormat="false" ht="15" hidden="false" customHeight="true" outlineLevel="0" collapsed="false">
      <c r="A347" s="1" t="s">
        <v>281</v>
      </c>
      <c r="B347" s="1" t="s">
        <v>277</v>
      </c>
      <c r="C347" s="1" t="n">
        <v>6020</v>
      </c>
      <c r="D347" s="1" t="s">
        <v>263</v>
      </c>
      <c r="E347" s="1" t="s">
        <v>143</v>
      </c>
      <c r="F347" s="1" t="n">
        <v>45275.51</v>
      </c>
    </row>
    <row r="348" customFormat="false" ht="15" hidden="false" customHeight="true" outlineLevel="0" collapsed="false">
      <c r="A348" s="1" t="s">
        <v>281</v>
      </c>
      <c r="B348" s="1" t="s">
        <v>278</v>
      </c>
      <c r="C348" s="1" t="n">
        <v>6020</v>
      </c>
      <c r="D348" s="1" t="s">
        <v>263</v>
      </c>
      <c r="E348" s="1" t="s">
        <v>143</v>
      </c>
      <c r="F348" s="1" t="n">
        <v>43587.78</v>
      </c>
    </row>
    <row r="349" customFormat="false" ht="15" hidden="false" customHeight="true" outlineLevel="0" collapsed="false">
      <c r="A349" s="1" t="s">
        <v>281</v>
      </c>
      <c r="B349" s="1" t="s">
        <v>279</v>
      </c>
      <c r="C349" s="1" t="n">
        <v>6020</v>
      </c>
      <c r="D349" s="1" t="s">
        <v>263</v>
      </c>
      <c r="E349" s="1" t="s">
        <v>143</v>
      </c>
      <c r="F349" s="1" t="n">
        <v>46303.29</v>
      </c>
    </row>
    <row r="350" customFormat="false" ht="15" hidden="false" customHeight="true" outlineLevel="0" collapsed="false">
      <c r="A350" s="1" t="s">
        <v>281</v>
      </c>
      <c r="B350" s="1" t="s">
        <v>252</v>
      </c>
      <c r="C350" s="1" t="n">
        <v>6030</v>
      </c>
      <c r="D350" s="1" t="s">
        <v>265</v>
      </c>
      <c r="E350" s="1" t="s">
        <v>143</v>
      </c>
      <c r="F350" s="1" t="n">
        <v>42870.7</v>
      </c>
    </row>
    <row r="351" customFormat="false" ht="15" hidden="false" customHeight="true" outlineLevel="0" collapsed="false">
      <c r="A351" s="1" t="s">
        <v>281</v>
      </c>
      <c r="B351" s="1" t="s">
        <v>270</v>
      </c>
      <c r="C351" s="1" t="n">
        <v>6030</v>
      </c>
      <c r="D351" s="1" t="s">
        <v>265</v>
      </c>
      <c r="E351" s="1" t="s">
        <v>143</v>
      </c>
      <c r="F351" s="1" t="n">
        <v>46251.1</v>
      </c>
    </row>
    <row r="352" customFormat="false" ht="15" hidden="false" customHeight="true" outlineLevel="0" collapsed="false">
      <c r="A352" s="1" t="s">
        <v>281</v>
      </c>
      <c r="B352" s="1" t="s">
        <v>271</v>
      </c>
      <c r="C352" s="1" t="n">
        <v>6030</v>
      </c>
      <c r="D352" s="1" t="s">
        <v>265</v>
      </c>
      <c r="E352" s="1" t="s">
        <v>143</v>
      </c>
      <c r="F352" s="1" t="n">
        <v>44922.12</v>
      </c>
    </row>
    <row r="353" customFormat="false" ht="15" hidden="false" customHeight="true" outlineLevel="0" collapsed="false">
      <c r="A353" s="1" t="s">
        <v>281</v>
      </c>
      <c r="B353" s="1" t="s">
        <v>272</v>
      </c>
      <c r="C353" s="1" t="n">
        <v>6030</v>
      </c>
      <c r="D353" s="1" t="s">
        <v>265</v>
      </c>
      <c r="E353" s="1" t="s">
        <v>143</v>
      </c>
      <c r="F353" s="1" t="n">
        <v>44646.81</v>
      </c>
    </row>
    <row r="354" customFormat="false" ht="15" hidden="false" customHeight="true" outlineLevel="0" collapsed="false">
      <c r="A354" s="1" t="s">
        <v>281</v>
      </c>
      <c r="B354" s="1" t="s">
        <v>273</v>
      </c>
      <c r="C354" s="1" t="n">
        <v>6030</v>
      </c>
      <c r="D354" s="1" t="s">
        <v>265</v>
      </c>
      <c r="E354" s="1" t="s">
        <v>143</v>
      </c>
      <c r="F354" s="1" t="n">
        <v>44245.81</v>
      </c>
    </row>
    <row r="355" customFormat="false" ht="15" hidden="false" customHeight="true" outlineLevel="0" collapsed="false">
      <c r="A355" s="1" t="s">
        <v>281</v>
      </c>
      <c r="B355" s="1" t="s">
        <v>129</v>
      </c>
      <c r="C355" s="1" t="n">
        <v>6030</v>
      </c>
      <c r="D355" s="1" t="s">
        <v>265</v>
      </c>
      <c r="E355" s="1" t="s">
        <v>143</v>
      </c>
      <c r="F355" s="1" t="n">
        <v>45090.43</v>
      </c>
    </row>
    <row r="356" customFormat="false" ht="15" hidden="false" customHeight="true" outlineLevel="0" collapsed="false">
      <c r="A356" s="1" t="s">
        <v>281</v>
      </c>
      <c r="B356" s="1" t="s">
        <v>274</v>
      </c>
      <c r="C356" s="1" t="n">
        <v>6030</v>
      </c>
      <c r="D356" s="1" t="s">
        <v>265</v>
      </c>
      <c r="E356" s="1" t="s">
        <v>143</v>
      </c>
      <c r="F356" s="1" t="n">
        <v>44699.66</v>
      </c>
    </row>
    <row r="357" customFormat="false" ht="15" hidden="false" customHeight="true" outlineLevel="0" collapsed="false">
      <c r="A357" s="1" t="s">
        <v>281</v>
      </c>
      <c r="B357" s="1" t="s">
        <v>275</v>
      </c>
      <c r="C357" s="1" t="n">
        <v>6030</v>
      </c>
      <c r="D357" s="1" t="s">
        <v>265</v>
      </c>
      <c r="E357" s="1" t="s">
        <v>143</v>
      </c>
      <c r="F357" s="1" t="n">
        <v>45720.42</v>
      </c>
    </row>
    <row r="358" customFormat="false" ht="15" hidden="false" customHeight="true" outlineLevel="0" collapsed="false">
      <c r="A358" s="1" t="s">
        <v>281</v>
      </c>
      <c r="B358" s="1" t="s">
        <v>276</v>
      </c>
      <c r="C358" s="1" t="n">
        <v>6030</v>
      </c>
      <c r="D358" s="1" t="s">
        <v>265</v>
      </c>
      <c r="E358" s="1" t="s">
        <v>143</v>
      </c>
      <c r="F358" s="1" t="n">
        <v>44835.53</v>
      </c>
    </row>
    <row r="359" customFormat="false" ht="15" hidden="false" customHeight="true" outlineLevel="0" collapsed="false">
      <c r="A359" s="1" t="s">
        <v>281</v>
      </c>
      <c r="B359" s="1" t="s">
        <v>277</v>
      </c>
      <c r="C359" s="1" t="n">
        <v>6030</v>
      </c>
      <c r="D359" s="1" t="s">
        <v>265</v>
      </c>
      <c r="E359" s="1" t="s">
        <v>143</v>
      </c>
      <c r="F359" s="1" t="n">
        <v>44867.8</v>
      </c>
    </row>
    <row r="360" customFormat="false" ht="15" hidden="false" customHeight="true" outlineLevel="0" collapsed="false">
      <c r="A360" s="1" t="s">
        <v>281</v>
      </c>
      <c r="B360" s="1" t="s">
        <v>278</v>
      </c>
      <c r="C360" s="1" t="n">
        <v>6030</v>
      </c>
      <c r="D360" s="1" t="s">
        <v>265</v>
      </c>
      <c r="E360" s="1" t="s">
        <v>143</v>
      </c>
      <c r="F360" s="1" t="n">
        <v>44408.02</v>
      </c>
    </row>
    <row r="361" customFormat="false" ht="15" hidden="false" customHeight="true" outlineLevel="0" collapsed="false">
      <c r="A361" s="1" t="s">
        <v>281</v>
      </c>
      <c r="B361" s="1" t="s">
        <v>279</v>
      </c>
      <c r="C361" s="1" t="n">
        <v>6030</v>
      </c>
      <c r="D361" s="1" t="s">
        <v>265</v>
      </c>
      <c r="E361" s="1" t="s">
        <v>143</v>
      </c>
      <c r="F361" s="1" t="n">
        <v>44682.39</v>
      </c>
    </row>
    <row r="362" customFormat="false" ht="15" hidden="false" customHeight="true" outlineLevel="0" collapsed="false">
      <c r="A362" s="1" t="s">
        <v>281</v>
      </c>
      <c r="B362" s="1" t="s">
        <v>252</v>
      </c>
      <c r="C362" s="1" t="n">
        <v>6040</v>
      </c>
      <c r="D362" s="1" t="s">
        <v>266</v>
      </c>
      <c r="E362" s="1" t="s">
        <v>143</v>
      </c>
      <c r="F362" s="1" t="n">
        <v>45008.71</v>
      </c>
    </row>
    <row r="363" customFormat="false" ht="15" hidden="false" customHeight="true" outlineLevel="0" collapsed="false">
      <c r="A363" s="1" t="s">
        <v>281</v>
      </c>
      <c r="B363" s="1" t="s">
        <v>270</v>
      </c>
      <c r="C363" s="1" t="n">
        <v>6040</v>
      </c>
      <c r="D363" s="1" t="s">
        <v>266</v>
      </c>
      <c r="E363" s="1" t="s">
        <v>143</v>
      </c>
      <c r="F363" s="1" t="n">
        <v>43203.3</v>
      </c>
    </row>
    <row r="364" customFormat="false" ht="15" hidden="false" customHeight="true" outlineLevel="0" collapsed="false">
      <c r="A364" s="1" t="s">
        <v>281</v>
      </c>
      <c r="B364" s="1" t="s">
        <v>271</v>
      </c>
      <c r="C364" s="1" t="n">
        <v>6040</v>
      </c>
      <c r="D364" s="1" t="s">
        <v>266</v>
      </c>
      <c r="E364" s="1" t="s">
        <v>143</v>
      </c>
      <c r="F364" s="1" t="n">
        <v>43527.16</v>
      </c>
    </row>
    <row r="365" customFormat="false" ht="15" hidden="false" customHeight="true" outlineLevel="0" collapsed="false">
      <c r="A365" s="1" t="s">
        <v>281</v>
      </c>
      <c r="B365" s="1" t="s">
        <v>272</v>
      </c>
      <c r="C365" s="1" t="n">
        <v>6040</v>
      </c>
      <c r="D365" s="1" t="s">
        <v>266</v>
      </c>
      <c r="E365" s="1" t="s">
        <v>143</v>
      </c>
      <c r="F365" s="1" t="n">
        <v>45398.31</v>
      </c>
    </row>
    <row r="366" customFormat="false" ht="15" hidden="false" customHeight="true" outlineLevel="0" collapsed="false">
      <c r="A366" s="1" t="s">
        <v>281</v>
      </c>
      <c r="B366" s="1" t="s">
        <v>273</v>
      </c>
      <c r="C366" s="1" t="n">
        <v>6040</v>
      </c>
      <c r="D366" s="1" t="s">
        <v>266</v>
      </c>
      <c r="E366" s="1" t="s">
        <v>143</v>
      </c>
      <c r="F366" s="1" t="n">
        <v>44886.2</v>
      </c>
    </row>
    <row r="367" customFormat="false" ht="15" hidden="false" customHeight="true" outlineLevel="0" collapsed="false">
      <c r="A367" s="1" t="s">
        <v>281</v>
      </c>
      <c r="B367" s="1" t="s">
        <v>129</v>
      </c>
      <c r="C367" s="1" t="n">
        <v>6040</v>
      </c>
      <c r="D367" s="1" t="s">
        <v>266</v>
      </c>
      <c r="E367" s="1" t="s">
        <v>143</v>
      </c>
      <c r="F367" s="1" t="n">
        <v>44568.73</v>
      </c>
    </row>
    <row r="368" customFormat="false" ht="15" hidden="false" customHeight="true" outlineLevel="0" collapsed="false">
      <c r="A368" s="1" t="s">
        <v>281</v>
      </c>
      <c r="B368" s="1" t="s">
        <v>274</v>
      </c>
      <c r="C368" s="1" t="n">
        <v>6040</v>
      </c>
      <c r="D368" s="1" t="s">
        <v>266</v>
      </c>
      <c r="E368" s="1" t="s">
        <v>143</v>
      </c>
      <c r="F368" s="1" t="n">
        <v>44749.83</v>
      </c>
    </row>
    <row r="369" customFormat="false" ht="15" hidden="false" customHeight="true" outlineLevel="0" collapsed="false">
      <c r="A369" s="1" t="s">
        <v>281</v>
      </c>
      <c r="B369" s="1" t="s">
        <v>275</v>
      </c>
      <c r="C369" s="1" t="n">
        <v>6040</v>
      </c>
      <c r="D369" s="1" t="s">
        <v>266</v>
      </c>
      <c r="E369" s="1" t="s">
        <v>143</v>
      </c>
      <c r="F369" s="1" t="n">
        <v>45044.3</v>
      </c>
    </row>
    <row r="370" customFormat="false" ht="15" hidden="false" customHeight="true" outlineLevel="0" collapsed="false">
      <c r="A370" s="1" t="s">
        <v>281</v>
      </c>
      <c r="B370" s="1" t="s">
        <v>276</v>
      </c>
      <c r="C370" s="1" t="n">
        <v>6040</v>
      </c>
      <c r="D370" s="1" t="s">
        <v>266</v>
      </c>
      <c r="E370" s="1" t="s">
        <v>143</v>
      </c>
      <c r="F370" s="1" t="n">
        <v>44250.43</v>
      </c>
    </row>
    <row r="371" customFormat="false" ht="15" hidden="false" customHeight="true" outlineLevel="0" collapsed="false">
      <c r="A371" s="1" t="s">
        <v>281</v>
      </c>
      <c r="B371" s="1" t="s">
        <v>277</v>
      </c>
      <c r="C371" s="1" t="n">
        <v>6040</v>
      </c>
      <c r="D371" s="1" t="s">
        <v>266</v>
      </c>
      <c r="E371" s="1" t="s">
        <v>143</v>
      </c>
      <c r="F371" s="1" t="n">
        <v>44037.01</v>
      </c>
    </row>
    <row r="372" customFormat="false" ht="15" hidden="false" customHeight="true" outlineLevel="0" collapsed="false">
      <c r="A372" s="1" t="s">
        <v>281</v>
      </c>
      <c r="B372" s="1" t="s">
        <v>278</v>
      </c>
      <c r="C372" s="1" t="n">
        <v>6040</v>
      </c>
      <c r="D372" s="1" t="s">
        <v>266</v>
      </c>
      <c r="E372" s="1" t="s">
        <v>143</v>
      </c>
      <c r="F372" s="1" t="n">
        <v>44908.55</v>
      </c>
    </row>
    <row r="373" customFormat="false" ht="15" hidden="false" customHeight="true" outlineLevel="0" collapsed="false">
      <c r="A373" s="1" t="s">
        <v>281</v>
      </c>
      <c r="B373" s="1" t="s">
        <v>279</v>
      </c>
      <c r="C373" s="1" t="n">
        <v>6040</v>
      </c>
      <c r="D373" s="1" t="s">
        <v>266</v>
      </c>
      <c r="E373" s="1" t="s">
        <v>143</v>
      </c>
      <c r="F373" s="1" t="n">
        <v>43858.02</v>
      </c>
    </row>
    <row r="374" customFormat="false" ht="15" hidden="false" customHeight="true" outlineLevel="0" collapsed="false">
      <c r="A374" s="1" t="s">
        <v>281</v>
      </c>
      <c r="B374" s="1" t="s">
        <v>252</v>
      </c>
      <c r="C374" s="1" t="n">
        <v>7000</v>
      </c>
      <c r="D374" s="1" t="s">
        <v>267</v>
      </c>
      <c r="E374" s="1" t="s">
        <v>143</v>
      </c>
      <c r="F374" s="1" t="n">
        <v>45098.58</v>
      </c>
    </row>
    <row r="375" customFormat="false" ht="15" hidden="false" customHeight="true" outlineLevel="0" collapsed="false">
      <c r="A375" s="1" t="s">
        <v>281</v>
      </c>
      <c r="B375" s="1" t="s">
        <v>270</v>
      </c>
      <c r="C375" s="1" t="n">
        <v>7000</v>
      </c>
      <c r="D375" s="1" t="s">
        <v>267</v>
      </c>
      <c r="E375" s="1" t="s">
        <v>143</v>
      </c>
      <c r="F375" s="1" t="n">
        <v>43210.09</v>
      </c>
    </row>
    <row r="376" customFormat="false" ht="15" hidden="false" customHeight="true" outlineLevel="0" collapsed="false">
      <c r="A376" s="1" t="s">
        <v>281</v>
      </c>
      <c r="B376" s="1" t="s">
        <v>271</v>
      </c>
      <c r="C376" s="1" t="n">
        <v>7000</v>
      </c>
      <c r="D376" s="1" t="s">
        <v>267</v>
      </c>
      <c r="E376" s="1" t="s">
        <v>143</v>
      </c>
      <c r="F376" s="1" t="n">
        <v>45654.08</v>
      </c>
    </row>
    <row r="377" customFormat="false" ht="15" hidden="false" customHeight="true" outlineLevel="0" collapsed="false">
      <c r="A377" s="1" t="s">
        <v>281</v>
      </c>
      <c r="B377" s="1" t="s">
        <v>272</v>
      </c>
      <c r="C377" s="1" t="n">
        <v>7000</v>
      </c>
      <c r="D377" s="1" t="s">
        <v>267</v>
      </c>
      <c r="E377" s="1" t="s">
        <v>143</v>
      </c>
      <c r="F377" s="1" t="n">
        <v>45156.15</v>
      </c>
    </row>
    <row r="378" customFormat="false" ht="15" hidden="false" customHeight="true" outlineLevel="0" collapsed="false">
      <c r="A378" s="1" t="s">
        <v>281</v>
      </c>
      <c r="B378" s="1" t="s">
        <v>273</v>
      </c>
      <c r="C378" s="1" t="n">
        <v>7000</v>
      </c>
      <c r="D378" s="1" t="s">
        <v>267</v>
      </c>
      <c r="E378" s="1" t="s">
        <v>143</v>
      </c>
      <c r="F378" s="1" t="n">
        <v>44962.39</v>
      </c>
    </row>
    <row r="379" customFormat="false" ht="15" hidden="false" customHeight="true" outlineLevel="0" collapsed="false">
      <c r="A379" s="1" t="s">
        <v>281</v>
      </c>
      <c r="B379" s="1" t="s">
        <v>129</v>
      </c>
      <c r="C379" s="1" t="n">
        <v>7000</v>
      </c>
      <c r="D379" s="1" t="s">
        <v>267</v>
      </c>
      <c r="E379" s="1" t="s">
        <v>143</v>
      </c>
      <c r="F379" s="1" t="n">
        <v>45612.51</v>
      </c>
    </row>
    <row r="380" customFormat="false" ht="15" hidden="false" customHeight="true" outlineLevel="0" collapsed="false">
      <c r="A380" s="1" t="s">
        <v>281</v>
      </c>
      <c r="B380" s="1" t="s">
        <v>274</v>
      </c>
      <c r="C380" s="1" t="n">
        <v>7000</v>
      </c>
      <c r="D380" s="1" t="s">
        <v>267</v>
      </c>
      <c r="E380" s="1" t="s">
        <v>143</v>
      </c>
      <c r="F380" s="1" t="n">
        <v>46223.38</v>
      </c>
    </row>
    <row r="381" customFormat="false" ht="15" hidden="false" customHeight="true" outlineLevel="0" collapsed="false">
      <c r="A381" s="1" t="s">
        <v>281</v>
      </c>
      <c r="B381" s="1" t="s">
        <v>275</v>
      </c>
      <c r="C381" s="1" t="n">
        <v>7000</v>
      </c>
      <c r="D381" s="1" t="s">
        <v>267</v>
      </c>
      <c r="E381" s="1" t="s">
        <v>143</v>
      </c>
      <c r="F381" s="1" t="n">
        <v>45640.86</v>
      </c>
    </row>
    <row r="382" customFormat="false" ht="15" hidden="false" customHeight="true" outlineLevel="0" collapsed="false">
      <c r="A382" s="1" t="s">
        <v>281</v>
      </c>
      <c r="B382" s="1" t="s">
        <v>276</v>
      </c>
      <c r="C382" s="1" t="n">
        <v>7000</v>
      </c>
      <c r="D382" s="1" t="s">
        <v>267</v>
      </c>
      <c r="E382" s="1" t="s">
        <v>143</v>
      </c>
      <c r="F382" s="1" t="n">
        <v>43086.36</v>
      </c>
    </row>
    <row r="383" customFormat="false" ht="15" hidden="false" customHeight="true" outlineLevel="0" collapsed="false">
      <c r="A383" s="1" t="s">
        <v>281</v>
      </c>
      <c r="B383" s="1" t="s">
        <v>277</v>
      </c>
      <c r="C383" s="1" t="n">
        <v>7000</v>
      </c>
      <c r="D383" s="1" t="s">
        <v>267</v>
      </c>
      <c r="E383" s="1" t="s">
        <v>143</v>
      </c>
      <c r="F383" s="1" t="n">
        <v>43588.54</v>
      </c>
    </row>
    <row r="384" customFormat="false" ht="15" hidden="false" customHeight="true" outlineLevel="0" collapsed="false">
      <c r="A384" s="1" t="s">
        <v>281</v>
      </c>
      <c r="B384" s="1" t="s">
        <v>278</v>
      </c>
      <c r="C384" s="1" t="n">
        <v>7000</v>
      </c>
      <c r="D384" s="1" t="s">
        <v>267</v>
      </c>
      <c r="E384" s="1" t="s">
        <v>143</v>
      </c>
      <c r="F384" s="1" t="n">
        <v>44174.33</v>
      </c>
    </row>
    <row r="385" customFormat="false" ht="15" hidden="false" customHeight="true" outlineLevel="0" collapsed="false">
      <c r="A385" s="1" t="s">
        <v>281</v>
      </c>
      <c r="B385" s="1" t="s">
        <v>279</v>
      </c>
      <c r="C385" s="1" t="n">
        <v>7000</v>
      </c>
      <c r="D385" s="1" t="s">
        <v>267</v>
      </c>
      <c r="E385" s="1" t="s">
        <v>143</v>
      </c>
      <c r="F385" s="1" t="n">
        <v>44756.68</v>
      </c>
    </row>
    <row r="386" customFormat="false" ht="15" hidden="false" customHeight="true" outlineLevel="0" collapsed="false">
      <c r="A386" s="1" t="s">
        <v>281</v>
      </c>
      <c r="B386" s="1" t="s">
        <v>252</v>
      </c>
      <c r="C386" s="1" t="n">
        <v>8000</v>
      </c>
      <c r="D386" s="1" t="s">
        <v>268</v>
      </c>
      <c r="E386" s="1" t="s">
        <v>269</v>
      </c>
      <c r="F386" s="1" t="n">
        <v>6163.15</v>
      </c>
    </row>
    <row r="387" customFormat="false" ht="15" hidden="false" customHeight="true" outlineLevel="0" collapsed="false">
      <c r="A387" s="1" t="s">
        <v>281</v>
      </c>
      <c r="B387" s="1" t="s">
        <v>270</v>
      </c>
      <c r="C387" s="1" t="n">
        <v>8000</v>
      </c>
      <c r="D387" s="1" t="s">
        <v>268</v>
      </c>
      <c r="E387" s="1" t="s">
        <v>269</v>
      </c>
      <c r="F387" s="1" t="n">
        <v>6011.46</v>
      </c>
    </row>
    <row r="388" customFormat="false" ht="15" hidden="false" customHeight="true" outlineLevel="0" collapsed="false">
      <c r="A388" s="1" t="s">
        <v>281</v>
      </c>
      <c r="B388" s="1" t="s">
        <v>271</v>
      </c>
      <c r="C388" s="1" t="n">
        <v>8000</v>
      </c>
      <c r="D388" s="1" t="s">
        <v>268</v>
      </c>
      <c r="E388" s="1" t="s">
        <v>269</v>
      </c>
      <c r="F388" s="1" t="n">
        <v>6122.79</v>
      </c>
    </row>
    <row r="389" customFormat="false" ht="15" hidden="false" customHeight="true" outlineLevel="0" collapsed="false">
      <c r="A389" s="1" t="s">
        <v>281</v>
      </c>
      <c r="B389" s="1" t="s">
        <v>272</v>
      </c>
      <c r="C389" s="1" t="n">
        <v>8000</v>
      </c>
      <c r="D389" s="1" t="s">
        <v>268</v>
      </c>
      <c r="E389" s="1" t="s">
        <v>269</v>
      </c>
      <c r="F389" s="1" t="n">
        <v>6007.84</v>
      </c>
    </row>
    <row r="390" customFormat="false" ht="15" hidden="false" customHeight="true" outlineLevel="0" collapsed="false">
      <c r="A390" s="1" t="s">
        <v>281</v>
      </c>
      <c r="B390" s="1" t="s">
        <v>273</v>
      </c>
      <c r="C390" s="1" t="n">
        <v>8000</v>
      </c>
      <c r="D390" s="1" t="s">
        <v>268</v>
      </c>
      <c r="E390" s="1" t="s">
        <v>269</v>
      </c>
      <c r="F390" s="1" t="n">
        <v>6025.39</v>
      </c>
    </row>
    <row r="391" customFormat="false" ht="15" hidden="false" customHeight="true" outlineLevel="0" collapsed="false">
      <c r="A391" s="1" t="s">
        <v>281</v>
      </c>
      <c r="B391" s="1" t="s">
        <v>129</v>
      </c>
      <c r="C391" s="1" t="n">
        <v>8000</v>
      </c>
      <c r="D391" s="1" t="s">
        <v>268</v>
      </c>
      <c r="E391" s="1" t="s">
        <v>269</v>
      </c>
      <c r="F391" s="1" t="n">
        <v>5928.39</v>
      </c>
    </row>
    <row r="392" customFormat="false" ht="15" hidden="false" customHeight="true" outlineLevel="0" collapsed="false">
      <c r="A392" s="1" t="s">
        <v>281</v>
      </c>
      <c r="B392" s="1" t="s">
        <v>274</v>
      </c>
      <c r="C392" s="1" t="n">
        <v>8000</v>
      </c>
      <c r="D392" s="1" t="s">
        <v>268</v>
      </c>
      <c r="E392" s="1" t="s">
        <v>269</v>
      </c>
      <c r="F392" s="1" t="n">
        <v>5987.37</v>
      </c>
    </row>
    <row r="393" customFormat="false" ht="15" hidden="false" customHeight="true" outlineLevel="0" collapsed="false">
      <c r="A393" s="1" t="s">
        <v>281</v>
      </c>
      <c r="B393" s="1" t="s">
        <v>275</v>
      </c>
      <c r="C393" s="1" t="n">
        <v>8000</v>
      </c>
      <c r="D393" s="1" t="s">
        <v>268</v>
      </c>
      <c r="E393" s="1" t="s">
        <v>269</v>
      </c>
      <c r="F393" s="1" t="n">
        <v>5935.09</v>
      </c>
    </row>
    <row r="394" customFormat="false" ht="15" hidden="false" customHeight="true" outlineLevel="0" collapsed="false">
      <c r="A394" s="1" t="s">
        <v>281</v>
      </c>
      <c r="B394" s="1" t="s">
        <v>276</v>
      </c>
      <c r="C394" s="1" t="n">
        <v>8000</v>
      </c>
      <c r="D394" s="1" t="s">
        <v>268</v>
      </c>
      <c r="E394" s="1" t="s">
        <v>269</v>
      </c>
      <c r="F394" s="1" t="n">
        <v>5980.94</v>
      </c>
    </row>
    <row r="395" customFormat="false" ht="15" hidden="false" customHeight="true" outlineLevel="0" collapsed="false">
      <c r="A395" s="1" t="s">
        <v>281</v>
      </c>
      <c r="B395" s="1" t="s">
        <v>277</v>
      </c>
      <c r="C395" s="1" t="n">
        <v>8000</v>
      </c>
      <c r="D395" s="1" t="s">
        <v>268</v>
      </c>
      <c r="E395" s="1" t="s">
        <v>269</v>
      </c>
      <c r="F395" s="1" t="n">
        <v>6228.54</v>
      </c>
    </row>
    <row r="396" customFormat="false" ht="15" hidden="false" customHeight="true" outlineLevel="0" collapsed="false">
      <c r="A396" s="1" t="s">
        <v>281</v>
      </c>
      <c r="B396" s="1" t="s">
        <v>278</v>
      </c>
      <c r="C396" s="1" t="n">
        <v>8000</v>
      </c>
      <c r="D396" s="1" t="s">
        <v>268</v>
      </c>
      <c r="E396" s="1" t="s">
        <v>269</v>
      </c>
      <c r="F396" s="1" t="n">
        <v>5984.17</v>
      </c>
    </row>
    <row r="397" customFormat="false" ht="15" hidden="false" customHeight="true" outlineLevel="0" collapsed="false">
      <c r="A397" s="1" t="s">
        <v>281</v>
      </c>
      <c r="B397" s="1" t="s">
        <v>279</v>
      </c>
      <c r="C397" s="1" t="n">
        <v>8000</v>
      </c>
      <c r="D397" s="1" t="s">
        <v>268</v>
      </c>
      <c r="E397" s="1" t="s">
        <v>269</v>
      </c>
      <c r="F397" s="1" t="n">
        <v>6421.15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2026-07-06T18:32:51Z</dcterms:created>
  <dc:creator>openpyxl</dc:creator>
  <dc:description/>
  <dc:language>en-US</dc:language>
  <cp:lastModifiedBy/>
  <dcterms:modified xsi:type="dcterms:W3CDTF">2026-07-07T08:12:13Z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